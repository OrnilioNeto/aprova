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printerSettings/printerSettings1.bin" ContentType="application/vnd.openxmlformats-officedocument.spreadsheetml.printerSettings"/>
  <Override PartName="/xl/drawings/drawing6.xml" ContentType="application/vnd.openxmlformats-officedocument.drawing+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printerSettings/printerSettings2.bin" ContentType="application/vnd.openxmlformats-officedocument.spreadsheetml.printerSettings"/>
  <Override PartName="/xl/drawings/drawing7.xml" ContentType="application/vnd.openxmlformats-officedocument.drawing+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drawings/drawing8.xml" ContentType="application/vnd.openxmlformats-officedocument.drawing+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drawings/drawing9.xml" ContentType="application/vnd.openxmlformats-officedocument.drawing+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drawings/drawing10.xml" ContentType="application/vnd.openxmlformats-officedocument.drawing+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drawings/drawing11.xml" ContentType="application/vnd.openxmlformats-officedocument.drawing+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printerSettings/printerSettings3.bin" ContentType="application/vnd.openxmlformats-officedocument.spreadsheetml.printerSettings"/>
  <Override PartName="/xl/drawings/drawing12.xml" ContentType="application/vnd.openxmlformats-officedocument.drawing+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drawings/drawing13.xml" ContentType="application/vnd.openxmlformats-officedocument.drawing+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drawings/drawing14.xml" ContentType="application/vnd.openxmlformats-officedocument.drawing+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printerSettings/printerSettings4.bin" ContentType="application/vnd.openxmlformats-officedocument.spreadsheetml.printerSettings"/>
  <Override PartName="/xl/drawings/drawing15.xml" ContentType="application/vnd.openxmlformats-officedocument.drawing+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drawings/drawing16.xml" ContentType="application/vnd.openxmlformats-officedocument.drawing+xml"/>
  <Override PartName="/xl/printerSettings/printerSettings5.bin" ContentType="application/vnd.openxmlformats-officedocument.spreadsheetml.printerSettings"/>
  <Override PartName="/xl/drawings/drawing17.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EstaPastaDeTrabalho" defaultThemeVersion="202300"/>
  <mc:AlternateContent xmlns:mc="http://schemas.openxmlformats.org/markup-compatibility/2006">
    <mc:Choice Requires="x15">
      <x15ac:absPath xmlns:x15ac="http://schemas.microsoft.com/office/spreadsheetml/2010/11/ac" url="https://d.docs.live.net/9946dcde002e91da/Concursos 2025/PPRN/"/>
    </mc:Choice>
  </mc:AlternateContent>
  <xr:revisionPtr revIDLastSave="170" documentId="11_EBF019895C70E3A547E8F3734182BBCB704F6E31" xr6:coauthVersionLast="47" xr6:coauthVersionMax="47" xr10:uidLastSave="{D884C97C-A457-4A3F-A3A9-5075422D5663}"/>
  <bookViews>
    <workbookView xWindow="-108" yWindow="-108" windowWidth="23256" windowHeight="12456" tabRatio="0" firstSheet="17" activeTab="17" xr2:uid="{00000000-000D-0000-FFFF-FFFF00000000}"/>
  </bookViews>
  <sheets>
    <sheet name="10 (2)" sheetId="18" r:id="rId1"/>
    <sheet name="capa (2)" sheetId="8" r:id="rId2"/>
    <sheet name="capa" sheetId="7" r:id="rId3"/>
    <sheet name="desempenho" sheetId="9" r:id="rId4"/>
    <sheet name="1" sheetId="6" r:id="rId5"/>
    <sheet name="2" sheetId="5" r:id="rId6"/>
    <sheet name="3" sheetId="4" r:id="rId7"/>
    <sheet name="4" sheetId="3" r:id="rId8"/>
    <sheet name="5" sheetId="1" r:id="rId9"/>
    <sheet name="6" sheetId="11" r:id="rId10"/>
    <sheet name="7" sheetId="12" r:id="rId11"/>
    <sheet name="8" sheetId="13" r:id="rId12"/>
    <sheet name="9" sheetId="15" r:id="rId13"/>
    <sheet name="10" sheetId="16" r:id="rId14"/>
    <sheet name="11" sheetId="17" r:id="rId15"/>
    <sheet name="Base" sheetId="2" r:id="rId16"/>
    <sheet name="agenda" sheetId="10" r:id="rId17"/>
    <sheet name="Plan1" sheetId="14" r:id="rId18"/>
  </sheets>
  <definedNames>
    <definedName name="_xleta.IFERROR"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0" i="3" l="1"/>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C20" i="8"/>
  <c r="C19" i="8"/>
  <c r="C18" i="8"/>
  <c r="C17" i="8"/>
  <c r="C16" i="8"/>
  <c r="B15" i="8"/>
  <c r="D15" i="8" s="1"/>
  <c r="E15" i="8"/>
  <c r="N14" i="17"/>
  <c r="H14" i="17"/>
  <c r="N13" i="17"/>
  <c r="H13" i="17"/>
  <c r="N12" i="17"/>
  <c r="H12" i="17"/>
  <c r="H11" i="17"/>
  <c r="H10" i="17"/>
  <c r="H9" i="17"/>
  <c r="L8" i="17"/>
  <c r="N9" i="17" s="1"/>
  <c r="K8" i="17"/>
  <c r="N8" i="17" s="1"/>
  <c r="H8" i="17"/>
  <c r="H7" i="17"/>
  <c r="H6" i="17"/>
  <c r="A6" i="17"/>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L5" i="17"/>
  <c r="N6" i="17" s="1"/>
  <c r="K5" i="17"/>
  <c r="N5" i="17" s="1"/>
  <c r="H5" i="17"/>
  <c r="B2" i="17"/>
  <c r="N14" i="18"/>
  <c r="H14" i="18"/>
  <c r="N13" i="18"/>
  <c r="H13" i="18"/>
  <c r="N12" i="18"/>
  <c r="H12" i="18"/>
  <c r="H11" i="18"/>
  <c r="H10" i="18"/>
  <c r="H9" i="18"/>
  <c r="L8" i="18"/>
  <c r="N9" i="18" s="1"/>
  <c r="K8" i="18"/>
  <c r="N8" i="18" s="1"/>
  <c r="H8" i="18"/>
  <c r="H7" i="18"/>
  <c r="H6" i="18"/>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L5" i="18"/>
  <c r="N6" i="18" s="1"/>
  <c r="K5" i="18"/>
  <c r="N5" i="18" s="1"/>
  <c r="H5" i="18"/>
  <c r="B2" i="18"/>
  <c r="C15" i="8" l="1"/>
  <c r="M5" i="17"/>
  <c r="M8" i="17"/>
  <c r="M5" i="18"/>
  <c r="M8" i="18"/>
  <c r="E14" i="8" l="1"/>
  <c r="E13" i="8"/>
  <c r="E12" i="8"/>
  <c r="B13" i="8"/>
  <c r="B14" i="8"/>
  <c r="B12" i="8"/>
  <c r="N14" i="16"/>
  <c r="H13" i="8" s="1"/>
  <c r="H14" i="16"/>
  <c r="N13" i="16"/>
  <c r="G13" i="8" s="1"/>
  <c r="H13" i="16"/>
  <c r="N12" i="16"/>
  <c r="F13" i="8" s="1"/>
  <c r="H12" i="16"/>
  <c r="H11" i="16"/>
  <c r="H10" i="16"/>
  <c r="H9" i="16"/>
  <c r="L8" i="16"/>
  <c r="N9" i="16" s="1"/>
  <c r="K8" i="16"/>
  <c r="N8" i="16" s="1"/>
  <c r="H8" i="16"/>
  <c r="H7" i="16"/>
  <c r="H6" i="16"/>
  <c r="A6" i="16"/>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L5" i="16"/>
  <c r="N6" i="16" s="1"/>
  <c r="K5" i="16"/>
  <c r="N5" i="16" s="1"/>
  <c r="H5" i="16"/>
  <c r="B2" i="16"/>
  <c r="N14" i="15"/>
  <c r="H14" i="8" s="1"/>
  <c r="H14" i="15"/>
  <c r="N13" i="15"/>
  <c r="G14" i="8" s="1"/>
  <c r="H13" i="15"/>
  <c r="N12" i="15"/>
  <c r="F14" i="8" s="1"/>
  <c r="H12" i="15"/>
  <c r="H11" i="15"/>
  <c r="H10" i="15"/>
  <c r="H9" i="15"/>
  <c r="L8" i="15"/>
  <c r="K8" i="15"/>
  <c r="N8" i="15" s="1"/>
  <c r="H8" i="15"/>
  <c r="H7" i="15"/>
  <c r="H6" i="15"/>
  <c r="A6" i="15"/>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L5" i="15"/>
  <c r="N6" i="15" s="1"/>
  <c r="K5" i="15"/>
  <c r="N5" i="15" s="1"/>
  <c r="H5" i="15"/>
  <c r="B2" i="15"/>
  <c r="D13" i="8" l="1"/>
  <c r="C13" i="8" s="1"/>
  <c r="D14" i="8"/>
  <c r="C14" i="8" s="1"/>
  <c r="D12" i="8"/>
  <c r="C12" i="8" s="1"/>
  <c r="M8" i="15"/>
  <c r="M5" i="16"/>
  <c r="M8" i="16"/>
  <c r="N9" i="15"/>
  <c r="M5" i="15"/>
  <c r="D2" i="14" l="1"/>
  <c r="G2" i="14" s="1"/>
  <c r="B2" i="14"/>
  <c r="J2" i="14" l="1"/>
  <c r="H2" i="14"/>
  <c r="E2" i="14"/>
  <c r="H14" i="2"/>
  <c r="H13" i="2"/>
  <c r="G14" i="2"/>
  <c r="G13" i="2"/>
  <c r="E11" i="8"/>
  <c r="E10" i="8"/>
  <c r="B11" i="8"/>
  <c r="B10" i="8"/>
  <c r="D10" i="8" l="1"/>
  <c r="C10" i="8" s="1"/>
  <c r="D11" i="8"/>
  <c r="C11" i="8" s="1"/>
  <c r="M2" i="14"/>
  <c r="K2" i="14"/>
  <c r="S13" i="7"/>
  <c r="Q17" i="7" s="1"/>
  <c r="N14" i="13"/>
  <c r="H12" i="8" s="1"/>
  <c r="H14" i="13"/>
  <c r="N13" i="13"/>
  <c r="G12" i="8" s="1"/>
  <c r="H13" i="13"/>
  <c r="N12" i="13"/>
  <c r="F12" i="8" s="1"/>
  <c r="H12" i="13"/>
  <c r="H11" i="13"/>
  <c r="H10" i="13"/>
  <c r="H9" i="13"/>
  <c r="L8" i="13"/>
  <c r="K8" i="13"/>
  <c r="N8" i="13" s="1"/>
  <c r="H8" i="13"/>
  <c r="H7" i="13"/>
  <c r="H6" i="13"/>
  <c r="A6" i="13"/>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L5" i="13"/>
  <c r="N6" i="13" s="1"/>
  <c r="K5" i="13"/>
  <c r="N5" i="13" s="1"/>
  <c r="H5" i="13"/>
  <c r="B2" i="13"/>
  <c r="N14" i="12"/>
  <c r="H11" i="8" s="1"/>
  <c r="H14" i="12"/>
  <c r="N13" i="12"/>
  <c r="G11" i="8" s="1"/>
  <c r="H13" i="12"/>
  <c r="N12" i="12"/>
  <c r="F11" i="8" s="1"/>
  <c r="H12" i="12"/>
  <c r="H11" i="12"/>
  <c r="H10" i="12"/>
  <c r="H9" i="12"/>
  <c r="L8" i="12"/>
  <c r="K8" i="12"/>
  <c r="H8" i="12"/>
  <c r="H7" i="12"/>
  <c r="H6" i="12"/>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L5" i="12"/>
  <c r="K5" i="12"/>
  <c r="N5" i="12" s="1"/>
  <c r="H5" i="12"/>
  <c r="B2" i="12"/>
  <c r="N14" i="11"/>
  <c r="H10" i="8" s="1"/>
  <c r="H14" i="11"/>
  <c r="N13" i="11"/>
  <c r="G10" i="8" s="1"/>
  <c r="H13" i="11"/>
  <c r="N12" i="11"/>
  <c r="F10" i="8" s="1"/>
  <c r="H12" i="11"/>
  <c r="H11" i="11"/>
  <c r="H10" i="11"/>
  <c r="H9" i="11"/>
  <c r="L8" i="11"/>
  <c r="K8" i="11"/>
  <c r="N8" i="11" s="1"/>
  <c r="I13" i="2" s="1"/>
  <c r="H8" i="11"/>
  <c r="H7" i="11"/>
  <c r="H6" i="11"/>
  <c r="A6" i="1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A102" i="11" s="1"/>
  <c r="A103" i="11" s="1"/>
  <c r="A104" i="11" s="1"/>
  <c r="L5" i="11"/>
  <c r="N6" i="11" s="1"/>
  <c r="K5" i="11"/>
  <c r="N5" i="11" s="1"/>
  <c r="H5" i="11"/>
  <c r="B2" i="11"/>
  <c r="M8" i="13" l="1"/>
  <c r="M8" i="11"/>
  <c r="N9" i="12"/>
  <c r="N8" i="12"/>
  <c r="I14" i="2" s="1"/>
  <c r="M8" i="12"/>
  <c r="N2" i="14"/>
  <c r="P2" i="14"/>
  <c r="N6" i="12"/>
  <c r="M5" i="13"/>
  <c r="N9" i="13"/>
  <c r="M5" i="12"/>
  <c r="N9" i="11"/>
  <c r="M5" i="11"/>
  <c r="G1" i="10"/>
  <c r="H1" i="10" s="1"/>
  <c r="H12" i="2"/>
  <c r="H11" i="2"/>
  <c r="H10" i="2"/>
  <c r="H9" i="2"/>
  <c r="H8" i="2"/>
  <c r="G12" i="2"/>
  <c r="G11" i="2"/>
  <c r="G10" i="2"/>
  <c r="G9" i="2"/>
  <c r="G8" i="2"/>
  <c r="S2" i="14" l="1"/>
  <c r="Q2" i="14"/>
  <c r="H22" i="2"/>
  <c r="H23" i="2" s="1"/>
  <c r="A7" i="14" l="1"/>
  <c r="T2" i="14"/>
  <c r="N14" i="1"/>
  <c r="N13" i="1"/>
  <c r="N12" i="1"/>
  <c r="F9" i="8" s="1"/>
  <c r="N14" i="3"/>
  <c r="H8" i="8" s="1"/>
  <c r="N13" i="3"/>
  <c r="G8" i="8" s="1"/>
  <c r="N12" i="3"/>
  <c r="F8" i="8" s="1"/>
  <c r="N14" i="4"/>
  <c r="H7" i="8" s="1"/>
  <c r="N13" i="4"/>
  <c r="G7" i="8" s="1"/>
  <c r="N12" i="4"/>
  <c r="F7" i="8" s="1"/>
  <c r="N14" i="5"/>
  <c r="H6" i="8" s="1"/>
  <c r="N13" i="5"/>
  <c r="G6" i="8" s="1"/>
  <c r="N12" i="5"/>
  <c r="F6" i="8" s="1"/>
  <c r="N14" i="6"/>
  <c r="H5" i="8" s="1"/>
  <c r="N13" i="6"/>
  <c r="G5" i="8" s="1"/>
  <c r="N12" i="6"/>
  <c r="F5" i="8" s="1"/>
  <c r="E9" i="8"/>
  <c r="E8" i="8"/>
  <c r="E7" i="8"/>
  <c r="E6" i="8"/>
  <c r="E5" i="8"/>
  <c r="H14" i="1"/>
  <c r="H13" i="1"/>
  <c r="H12" i="1"/>
  <c r="H11" i="1"/>
  <c r="H10" i="1"/>
  <c r="H9" i="1"/>
  <c r="L8" i="1"/>
  <c r="N9" i="1" s="1"/>
  <c r="J12" i="2" s="1"/>
  <c r="K8" i="1"/>
  <c r="N8" i="1" s="1"/>
  <c r="I12" i="2" s="1"/>
  <c r="H8" i="1"/>
  <c r="H7" i="1"/>
  <c r="H6" i="1"/>
  <c r="A6" i="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L5" i="1"/>
  <c r="N6" i="1" s="1"/>
  <c r="N12" i="2" s="1"/>
  <c r="K5" i="1"/>
  <c r="N5" i="1" s="1"/>
  <c r="M12" i="2" s="1"/>
  <c r="H5" i="1"/>
  <c r="B2" i="1"/>
  <c r="L8" i="3"/>
  <c r="K8" i="3"/>
  <c r="A6" i="3"/>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L5" i="3"/>
  <c r="N6" i="3" s="1"/>
  <c r="N11" i="2" s="1"/>
  <c r="K5" i="3"/>
  <c r="N5" i="3" s="1"/>
  <c r="M11" i="2" s="1"/>
  <c r="H5" i="3"/>
  <c r="B2" i="3"/>
  <c r="H14" i="4"/>
  <c r="H13" i="4"/>
  <c r="H12" i="4"/>
  <c r="H11" i="4"/>
  <c r="H10" i="4"/>
  <c r="H9" i="4"/>
  <c r="L8" i="4"/>
  <c r="N9" i="4" s="1"/>
  <c r="J10" i="2" s="1"/>
  <c r="K8" i="4"/>
  <c r="H8" i="4"/>
  <c r="H7" i="4"/>
  <c r="H6" i="4"/>
  <c r="A6" i="4"/>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L5" i="4"/>
  <c r="N6" i="4" s="1"/>
  <c r="N10" i="2" s="1"/>
  <c r="K5" i="4"/>
  <c r="N5" i="4" s="1"/>
  <c r="M10" i="2" s="1"/>
  <c r="H5" i="4"/>
  <c r="B2" i="4"/>
  <c r="H14" i="5"/>
  <c r="H13" i="5"/>
  <c r="H12" i="5"/>
  <c r="H11" i="5"/>
  <c r="H10" i="5"/>
  <c r="H9" i="5"/>
  <c r="L8" i="5"/>
  <c r="N9" i="5" s="1"/>
  <c r="J9" i="2" s="1"/>
  <c r="K8" i="5"/>
  <c r="N8" i="5" s="1"/>
  <c r="I9" i="2" s="1"/>
  <c r="H8" i="5"/>
  <c r="H7" i="5"/>
  <c r="H6" i="5"/>
  <c r="A6" i="5"/>
  <c r="A7" i="5" s="1"/>
  <c r="A8" i="5" s="1"/>
  <c r="A9" i="5" s="1"/>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L5" i="5"/>
  <c r="N6" i="5" s="1"/>
  <c r="N9" i="2" s="1"/>
  <c r="K5" i="5"/>
  <c r="H5" i="5"/>
  <c r="B2" i="5"/>
  <c r="B6" i="8"/>
  <c r="B9" i="8"/>
  <c r="B8" i="8"/>
  <c r="B7" i="8"/>
  <c r="B5" i="8"/>
  <c r="H14" i="6"/>
  <c r="H13" i="6"/>
  <c r="H12" i="6"/>
  <c r="H11" i="6"/>
  <c r="H10" i="6"/>
  <c r="H9" i="6"/>
  <c r="L8" i="6"/>
  <c r="N9" i="6" s="1"/>
  <c r="J8" i="2" s="1"/>
  <c r="K8" i="6"/>
  <c r="N8" i="6" s="1"/>
  <c r="I8" i="2" s="1"/>
  <c r="H8" i="6"/>
  <c r="H7" i="6"/>
  <c r="H6" i="6"/>
  <c r="A6" i="6"/>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L5" i="6"/>
  <c r="K5" i="6"/>
  <c r="N5" i="6" s="1"/>
  <c r="M8" i="2" s="1"/>
  <c r="H5" i="6"/>
  <c r="B2" i="6"/>
  <c r="D8" i="8" l="1"/>
  <c r="C8" i="8" s="1"/>
  <c r="D9" i="8"/>
  <c r="C9" i="8" s="1"/>
  <c r="G19" i="8"/>
  <c r="G15" i="8"/>
  <c r="H19" i="8"/>
  <c r="H15" i="8"/>
  <c r="D7" i="8"/>
  <c r="C7" i="8" s="1"/>
  <c r="D6" i="8"/>
  <c r="C6" i="8" s="1"/>
  <c r="L8" i="2"/>
  <c r="N5" i="5"/>
  <c r="M9" i="2" s="1"/>
  <c r="P9" i="2" s="1"/>
  <c r="G3" i="2"/>
  <c r="N9" i="3"/>
  <c r="J11" i="2" s="1"/>
  <c r="H5" i="2"/>
  <c r="N8" i="3"/>
  <c r="I11" i="2" s="1"/>
  <c r="G5" i="2"/>
  <c r="D7" i="14"/>
  <c r="B7" i="14"/>
  <c r="N6" i="6"/>
  <c r="N8" i="2" s="1"/>
  <c r="P8" i="2" s="1"/>
  <c r="H3" i="2"/>
  <c r="G16" i="8"/>
  <c r="G18" i="8"/>
  <c r="G20" i="8"/>
  <c r="H16" i="8"/>
  <c r="H18" i="8"/>
  <c r="H20" i="8"/>
  <c r="G9" i="8"/>
  <c r="G17" i="8"/>
  <c r="H9" i="8"/>
  <c r="H17" i="8"/>
  <c r="O12" i="2"/>
  <c r="P12" i="2"/>
  <c r="M5" i="1"/>
  <c r="O11" i="2"/>
  <c r="P11" i="2"/>
  <c r="O10" i="2"/>
  <c r="P10" i="2"/>
  <c r="F3" i="2"/>
  <c r="K8" i="2"/>
  <c r="D5" i="8"/>
  <c r="C5" i="8" s="1"/>
  <c r="M5" i="3"/>
  <c r="L12" i="2"/>
  <c r="K12" i="2"/>
  <c r="M8" i="3"/>
  <c r="M8" i="4"/>
  <c r="N8" i="4"/>
  <c r="I10" i="2" s="1"/>
  <c r="M5" i="4"/>
  <c r="M8" i="5"/>
  <c r="K9" i="2"/>
  <c r="L9" i="2"/>
  <c r="M5" i="5"/>
  <c r="M8" i="1"/>
  <c r="M8" i="6"/>
  <c r="M5" i="6"/>
  <c r="K11" i="2" l="1"/>
  <c r="O9" i="2"/>
  <c r="L11" i="2"/>
  <c r="I3" i="2"/>
  <c r="G7" i="14"/>
  <c r="E7" i="14"/>
  <c r="O8" i="2"/>
  <c r="J3" i="2"/>
  <c r="J5" i="2"/>
  <c r="L10" i="2"/>
  <c r="K10" i="2"/>
  <c r="I5" i="2"/>
  <c r="H7" i="14" l="1"/>
  <c r="J7" i="14"/>
  <c r="M7" i="14" s="1"/>
  <c r="K7" i="14" l="1"/>
  <c r="P7" i="14" l="1"/>
  <c r="N7" i="14"/>
  <c r="Q7" i="14" l="1"/>
  <c r="S7" i="14"/>
  <c r="A12" i="14" l="1"/>
  <c r="T7" i="14"/>
  <c r="D12" i="14" l="1"/>
  <c r="B12" i="14"/>
  <c r="G12" i="14" l="1"/>
  <c r="E12" i="14"/>
  <c r="H12" i="14" l="1"/>
  <c r="J12" i="14"/>
  <c r="M12" i="14" s="1"/>
  <c r="K12" i="14" l="1"/>
  <c r="P12" i="14" l="1"/>
  <c r="N12" i="14"/>
  <c r="S12" i="14" l="1"/>
  <c r="Q12" i="14"/>
  <c r="A17" i="14" l="1"/>
  <c r="T12" i="14"/>
  <c r="D17" i="14" l="1"/>
  <c r="B17" i="14"/>
  <c r="G17" i="14" l="1"/>
  <c r="E17" i="14"/>
  <c r="J17" i="14" l="1"/>
  <c r="H17" i="14"/>
  <c r="M17" i="14" l="1"/>
  <c r="K17" i="14"/>
  <c r="N17" i="14" l="1"/>
  <c r="P17" i="14"/>
  <c r="S17" i="14" l="1"/>
  <c r="Q17" i="14"/>
  <c r="A22" i="14" l="1"/>
  <c r="T17" i="14"/>
  <c r="B22" i="14" l="1"/>
  <c r="D22" i="14"/>
  <c r="G22" i="14" l="1"/>
  <c r="E22" i="14"/>
  <c r="J22" i="14" l="1"/>
  <c r="H22" i="14"/>
  <c r="M22" i="14" l="1"/>
  <c r="K22" i="14"/>
  <c r="P22" i="14" l="1"/>
  <c r="Q22" i="14" s="1"/>
  <c r="N22" i="14"/>
  <c r="AC2" i="14" l="1"/>
  <c r="AE2" i="14" s="1"/>
  <c r="AB2" i="14"/>
  <c r="AD2" i="14" l="1"/>
  <c r="AA2"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tc={C6BBCC3E-B2ED-4E8C-BA61-347A8E29F2FC}</author>
  </authors>
  <commentList>
    <comment ref="M3" authorId="0" shapeId="0" xr:uid="{C6BBCC3E-B2ED-4E8C-BA61-347A8E29F2FC}">
      <text>
        <t>[Comentário encadeado]
Sua versão do Excel permite que você leia este comentário encadeado, no entanto, as edições serão removidas se o arquivo for aberto em uma versão mais recente do Excel. Saiba mais: https://go.microsoft.com/fwlink/?linkid=870924
Comentário:
    Realizar questoes, avaliar desempenho</t>
      </text>
    </comment>
  </commentList>
</comments>
</file>

<file path=xl/sharedStrings.xml><?xml version="1.0" encoding="utf-8"?>
<sst xmlns="http://schemas.openxmlformats.org/spreadsheetml/2006/main" count="837" uniqueCount="339">
  <si>
    <t>PORTUGUÊS</t>
  </si>
  <si>
    <t>PDF</t>
  </si>
  <si>
    <t>V.A</t>
  </si>
  <si>
    <t>√</t>
  </si>
  <si>
    <t>Q.Resolvidas</t>
  </si>
  <si>
    <t>%</t>
  </si>
  <si>
    <t>MATERIAL</t>
  </si>
  <si>
    <t>SIMULADOS</t>
  </si>
  <si>
    <t>PAINEL DE CONTROLE</t>
  </si>
  <si>
    <t>Sub Tópicos</t>
  </si>
  <si>
    <t>OK</t>
  </si>
  <si>
    <t>X</t>
  </si>
  <si>
    <t>Total Q. Resolvidas</t>
  </si>
  <si>
    <t>Q.Corretas</t>
  </si>
  <si>
    <t>Total Q.Corretas</t>
  </si>
  <si>
    <t>Sub Tópicos Concluídos</t>
  </si>
  <si>
    <t>Sub Tópicos Restantes</t>
  </si>
  <si>
    <t>REVISÕES</t>
  </si>
  <si>
    <t>Data Revisão 1</t>
  </si>
  <si>
    <t>Data Revisão 2</t>
  </si>
  <si>
    <t>Data Revisão 3</t>
  </si>
  <si>
    <t>ACERTOS %</t>
  </si>
  <si>
    <t>Revisão</t>
  </si>
  <si>
    <t>Data</t>
  </si>
  <si>
    <t>OBSERVAÇÕES</t>
  </si>
  <si>
    <t>CONTROLE</t>
  </si>
  <si>
    <t>Titulo do concurso</t>
  </si>
  <si>
    <t>CONTEÚDO PROGRAMÁTICO</t>
  </si>
  <si>
    <t>POLÍCIA PENAL DA PARAÍBA</t>
  </si>
  <si>
    <t>SUB TÓPICOS :</t>
  </si>
  <si>
    <t>DISCIPLINA EDITAL</t>
  </si>
  <si>
    <t>GESTÃO DE ESTUDOS</t>
  </si>
  <si>
    <t>SUB TÓPICOS</t>
  </si>
  <si>
    <t>CONCLUÍDO</t>
  </si>
  <si>
    <t>SUB TÓPICOS RESTANTES</t>
  </si>
  <si>
    <t>CLIK PARA ACESSAR</t>
  </si>
  <si>
    <t>TEMPO DE ESTUDO</t>
  </si>
  <si>
    <t>conometro</t>
  </si>
  <si>
    <t>CRONÔMETRO</t>
  </si>
  <si>
    <t>Prox Revisão</t>
  </si>
  <si>
    <t>CONTROLES</t>
  </si>
  <si>
    <t>Q realizadas</t>
  </si>
  <si>
    <t>Q Corretas</t>
  </si>
  <si>
    <t>Q Erradas</t>
  </si>
  <si>
    <t>Acertividade %</t>
  </si>
  <si>
    <t>DISCIPLINA</t>
  </si>
  <si>
    <t>TEMPO</t>
  </si>
  <si>
    <t>TEMPO TOTAL DE ESTUDOS</t>
  </si>
  <si>
    <t>T. MEDIO DE ESTUDO POR DISCIPLINA</t>
  </si>
  <si>
    <t>SUB TÓPICOS OK</t>
  </si>
  <si>
    <t>CONCLUSÃO %</t>
  </si>
  <si>
    <t>ACERTIVIDADE %</t>
  </si>
  <si>
    <t>Q ERRADAS</t>
  </si>
  <si>
    <t>Q CORRETAS</t>
  </si>
  <si>
    <t>Q REALIZADAS</t>
  </si>
  <si>
    <t>TÓPICOS EDITAL</t>
  </si>
  <si>
    <t>sub topicos ok</t>
  </si>
  <si>
    <t>sub topicos</t>
  </si>
  <si>
    <t>sub top restantes</t>
  </si>
  <si>
    <t>Realizado %</t>
  </si>
  <si>
    <t>PAINEL DE DESEMPENHO</t>
  </si>
  <si>
    <t xml:space="preserve">HORÁRIOS </t>
  </si>
  <si>
    <t xml:space="preserve">DOMINGO </t>
  </si>
  <si>
    <t xml:space="preserve">SEGUNDA </t>
  </si>
  <si>
    <t>TERÇA</t>
  </si>
  <si>
    <t xml:space="preserve">QUARTA </t>
  </si>
  <si>
    <t xml:space="preserve">QUINTA </t>
  </si>
  <si>
    <t xml:space="preserve">SEXTA </t>
  </si>
  <si>
    <t xml:space="preserve">SÁBADO </t>
  </si>
  <si>
    <t>ESTUDO</t>
  </si>
  <si>
    <t>TRABALHO</t>
  </si>
  <si>
    <t>SAIDA TRABALHO</t>
  </si>
  <si>
    <t>ACADEMIA</t>
  </si>
  <si>
    <t>ACORDAR</t>
  </si>
  <si>
    <t>RETORNO CASA</t>
  </si>
  <si>
    <t>DIVERSOS</t>
  </si>
  <si>
    <t>SAIDA ACADENIA</t>
  </si>
  <si>
    <r>
      <rPr>
        <b/>
        <sz val="14"/>
        <color rgb="FF00FFCC"/>
        <rFont val="Aptos Narrow"/>
        <family val="2"/>
        <scheme val="minor"/>
      </rPr>
      <t xml:space="preserve">       </t>
    </r>
    <r>
      <rPr>
        <b/>
        <sz val="30"/>
        <color theme="0"/>
        <rFont val="Aptos Narrow"/>
        <family val="2"/>
        <scheme val="minor"/>
      </rPr>
      <t xml:space="preserve"> AGENDA  DIÁRIA </t>
    </r>
  </si>
  <si>
    <t>LEI EX. PENAL</t>
  </si>
  <si>
    <t>DIREITOS HUMANOS</t>
  </si>
  <si>
    <t>DIREITO ADMINISTRATIVO</t>
  </si>
  <si>
    <t>PROCESSO PENAL</t>
  </si>
  <si>
    <t>ok</t>
  </si>
  <si>
    <t>EXTRAVAGANTE</t>
  </si>
  <si>
    <t>CRONOGRAMA DE ESTUDO</t>
  </si>
  <si>
    <t>LEP</t>
  </si>
  <si>
    <t>total do calendario</t>
  </si>
  <si>
    <t>não realizado</t>
  </si>
  <si>
    <t>x</t>
  </si>
  <si>
    <t>realizado</t>
  </si>
  <si>
    <t>não realizado %</t>
  </si>
  <si>
    <t>realizado %</t>
  </si>
  <si>
    <t>restante</t>
  </si>
  <si>
    <t>Restante</t>
  </si>
  <si>
    <t>DIREITO PENAL</t>
  </si>
  <si>
    <t>D. CONSTITUCIONAL</t>
  </si>
  <si>
    <t>QW1</t>
  </si>
  <si>
    <t>QW11W</t>
  </si>
  <si>
    <t>1w11ww1w11ww1w11ww1w11ww1w11ww1w11ww1w11ww1w11ww1w11ww1w11ww1w1</t>
  </si>
  <si>
    <t>Portugues</t>
  </si>
  <si>
    <t>9.1. Ética e cidadania.</t>
  </si>
  <si>
    <t>9.2. Ética e moral.</t>
  </si>
  <si>
    <t>9.3. Ética, princípios e valores.</t>
  </si>
  <si>
    <t>9.4. Ética e função pública.</t>
  </si>
  <si>
    <t>9.5. Ética no setor público.</t>
  </si>
  <si>
    <t>ÉTICA</t>
  </si>
  <si>
    <t>Est.do Servidor</t>
  </si>
  <si>
    <t>Hist. Asp Geoecon</t>
  </si>
  <si>
    <t>Compreensão e interpretação de textos</t>
  </si>
  <si>
    <t>Tipos e gêneros textuais</t>
  </si>
  <si>
    <t>Significação de palavras e expressões</t>
  </si>
  <si>
    <t>Sinônimos e antônimos</t>
  </si>
  <si>
    <t>Ortografia oficial</t>
  </si>
  <si>
    <t>Tempos simples dos verbos</t>
  </si>
  <si>
    <t>Conjugações verbais</t>
  </si>
  <si>
    <t>Colocação de pronomes nas frases</t>
  </si>
  <si>
    <t>Sintaxe: termos essenciais, integrantes e acessórios da oração</t>
  </si>
  <si>
    <t>Tipos de predicado</t>
  </si>
  <si>
    <t>Classificação das palavras quanto ao número de sílabas</t>
  </si>
  <si>
    <t>Dígrafos, encontros vocálicos e consonantais</t>
  </si>
  <si>
    <t>Divisão silábica</t>
  </si>
  <si>
    <t>Processos de formação de palavras: derivação, composição e outros processos</t>
  </si>
  <si>
    <t>A Capitania do Rio Grande na história das capitanias donatárias (Século XVI)</t>
  </si>
  <si>
    <t>Indígenas nos sertões do Rio Grande colonial</t>
  </si>
  <si>
    <t>A seca e a questão sanitária no Século XIX</t>
  </si>
  <si>
    <t>30 de setembro e a política abolicionista de vanguarda mossoroense</t>
  </si>
  <si>
    <t>Motim das Mulheres</t>
  </si>
  <si>
    <t>Política e sociedade: Mossoró e a resistência ao bando de Lampião</t>
  </si>
  <si>
    <t>O movimento de 1930 no Rio Grande do Norte</t>
  </si>
  <si>
    <t>A Barreira do Inferno, Trampolim da Vitória e o Rio Grande do Norte na Segunda Guerra Mundial</t>
  </si>
  <si>
    <t>Atividades econômicas modernas e tradicionais: agropecuária, pesca, fruticultura, carcinicultura, sal, indústria, produção de petróleo e gás, turismo, comércio e serviços</t>
  </si>
  <si>
    <t>Transformação da indústria das energias renováveis no panorama econômico e geográfico do Rio Grande do Norte</t>
  </si>
  <si>
    <t>A Indústria Mineradora do Seridó</t>
  </si>
  <si>
    <t>Ética e Moral</t>
  </si>
  <si>
    <t>Ética e democracia: exercício de cidadania</t>
  </si>
  <si>
    <t>Ética e função pública</t>
  </si>
  <si>
    <t>Ética no setor público</t>
  </si>
  <si>
    <t>Decreto Estadual nº 33.094/2023: Aprova o Código de Ética Profissional do Servidor Público Civil do Poder Executivo Estadual</t>
  </si>
  <si>
    <t>Lei Estadual nº 11.902/2024: Dispõe sobre medidas de prevenção e enfrentamento ao assédio moral, sexual e outras formas de violência no âmbito dos órgãos e entidades da Administração Pública do Poder Executivo do Estado do Rio Grande do Norte</t>
  </si>
  <si>
    <t>Constituição da República Federativa do Brasil de 1988</t>
  </si>
  <si>
    <t>Conceito, classificação e princípios fundamentais</t>
  </si>
  <si>
    <t>Aplicabilidade das normas constitucionais</t>
  </si>
  <si>
    <t>Interpretação constitucional</t>
  </si>
  <si>
    <t>Direitos e Garantias Fundamentais</t>
  </si>
  <si>
    <t>Direitos e deveres individuais e coletivos</t>
  </si>
  <si>
    <t>Direitos sociais</t>
  </si>
  <si>
    <t>Nacionalidade</t>
  </si>
  <si>
    <t>Direitos políticos</t>
  </si>
  <si>
    <t>Organização do Estado</t>
  </si>
  <si>
    <t>Organização político-administrativa</t>
  </si>
  <si>
    <t>Organização dos Poderes</t>
  </si>
  <si>
    <t>Poder Legislativo</t>
  </si>
  <si>
    <t>Poder Executivo</t>
  </si>
  <si>
    <t>Poder Judiciário</t>
  </si>
  <si>
    <t>Funções essenciais à Justiça</t>
  </si>
  <si>
    <t>Segurança Pública</t>
  </si>
  <si>
    <t>Segurança pública na Constituição Federal</t>
  </si>
  <si>
    <t>Artigo 144 da Constituição Federal</t>
  </si>
  <si>
    <t>Órgãos de segurança pública</t>
  </si>
  <si>
    <t>Polícia Penal: competências e atribuições</t>
  </si>
  <si>
    <t>Controle de Constitucionalidade</t>
  </si>
  <si>
    <t>Defesa do Estado e das Instituições Democráticas</t>
  </si>
  <si>
    <t>Estado de defesa</t>
  </si>
  <si>
    <t>Estado de sítio</t>
  </si>
  <si>
    <t>Segurança institucional</t>
  </si>
  <si>
    <t>Ordem Social</t>
  </si>
  <si>
    <t>Educação, saúde e assistência social</t>
  </si>
  <si>
    <t>Meio ambiente</t>
  </si>
  <si>
    <t>Família, criança, adolescente e idoso</t>
  </si>
  <si>
    <t>Direitos das pessoas com deficiência</t>
  </si>
  <si>
    <t>Estado, governo e Administração Pública</t>
  </si>
  <si>
    <t>Conceitos</t>
  </si>
  <si>
    <t>Elementos</t>
  </si>
  <si>
    <t>Direito administrativo</t>
  </si>
  <si>
    <t>Conceito</t>
  </si>
  <si>
    <t>Objeto</t>
  </si>
  <si>
    <t>Fontes</t>
  </si>
  <si>
    <t>Ato administrativo</t>
  </si>
  <si>
    <t>Conceito, requisitos, atributos, classificação e espécies</t>
  </si>
  <si>
    <t>Extinção do ato administrativo: cassação, anulação, revogação e convalidação</t>
  </si>
  <si>
    <t>Decadência administrativa</t>
  </si>
  <si>
    <t>Agentes públicos</t>
  </si>
  <si>
    <t>Espécies</t>
  </si>
  <si>
    <t>Cargo, emprego e função pública</t>
  </si>
  <si>
    <t>Provimento</t>
  </si>
  <si>
    <t>Vacância</t>
  </si>
  <si>
    <t>Efetividade, estabilidade e vitaliciedade</t>
  </si>
  <si>
    <t>Remuneração</t>
  </si>
  <si>
    <t>Direitos e deveres</t>
  </si>
  <si>
    <t>Responsabilidade</t>
  </si>
  <si>
    <t>Processo administrativo disciplinar</t>
  </si>
  <si>
    <t>Poderes da Administração Pública</t>
  </si>
  <si>
    <t>Uso e abuso do poder</t>
  </si>
  <si>
    <t>Regime jurídico-administrativo</t>
  </si>
  <si>
    <t>Princípios expressos e implícitos da Administração Pública</t>
  </si>
  <si>
    <t>Responsabilidade civil do Estado</t>
  </si>
  <si>
    <t>Evolução histórica</t>
  </si>
  <si>
    <t>Requisitos para a demonstração da responsabilidade do Estado</t>
  </si>
  <si>
    <t>Causas excludentes e atenuantes da responsabilidade do Estado</t>
  </si>
  <si>
    <t>Reparação do dano</t>
  </si>
  <si>
    <t>Direito de regresso</t>
  </si>
  <si>
    <t>Serviços públicos</t>
  </si>
  <si>
    <t>Elementos constitutivos</t>
  </si>
  <si>
    <t>Formas de prestação e meios de execução</t>
  </si>
  <si>
    <t>Delegação: concessão, permissão e autorização</t>
  </si>
  <si>
    <t>Classificação</t>
  </si>
  <si>
    <t>Princípios</t>
  </si>
  <si>
    <t>Organização administrativa</t>
  </si>
  <si>
    <t>Centralização, descentralização, concentração e desconcentração</t>
  </si>
  <si>
    <t>Administração direta e indireta</t>
  </si>
  <si>
    <t>Autarquias, fundações, empresas públicas e sociedades de economia mista</t>
  </si>
  <si>
    <t>Controle da Administração Pública</t>
  </si>
  <si>
    <t>Controle exercido pela Administração Pública</t>
  </si>
  <si>
    <t>Controle judicial</t>
  </si>
  <si>
    <t>Controle legislativo</t>
  </si>
  <si>
    <t>Controle social</t>
  </si>
  <si>
    <t>Teoria Geral dos Direitos Humanos</t>
  </si>
  <si>
    <t>Conceito e características</t>
  </si>
  <si>
    <t>Gerações dos direitos humanos</t>
  </si>
  <si>
    <t>Direitos Humanos na Constituição Federal</t>
  </si>
  <si>
    <t>Direitos e garantias fundamentais</t>
  </si>
  <si>
    <t>Direitos individuais e coletivos</t>
  </si>
  <si>
    <t>Sistemas de Proteção dos Direitos Humanos</t>
  </si>
  <si>
    <t>Sistema Global – ONU</t>
  </si>
  <si>
    <t>Sistema Interamericano – OEA</t>
  </si>
  <si>
    <t>Convenção Americana de Direitos Humanos</t>
  </si>
  <si>
    <t>Direitos Humanos e Segurança Pública</t>
  </si>
  <si>
    <t>Uso proporcional da força</t>
  </si>
  <si>
    <t>Prevenção à tortura</t>
  </si>
  <si>
    <t>Responsabilidade do agente público</t>
  </si>
  <si>
    <t>Direitos Humanos e Execução Penal</t>
  </si>
  <si>
    <t>Direitos da pessoa privada de liberdade</t>
  </si>
  <si>
    <t>Ressocialização</t>
  </si>
  <si>
    <t>Assistências previstas na execução penal</t>
  </si>
  <si>
    <t>Normas Internacionais do Sistema Prisional</t>
  </si>
  <si>
    <t>Regras de Mandela</t>
  </si>
  <si>
    <t>Regras de Bangkok</t>
  </si>
  <si>
    <t>Tratamento digno da população carcerária</t>
  </si>
  <si>
    <t>Tortura e Maus-Tratos</t>
  </si>
  <si>
    <t>Conceito e formas de tortura</t>
  </si>
  <si>
    <t>Combate à tortura</t>
  </si>
  <si>
    <t>Direitos Humanos dos Grupos Vulneráveis</t>
  </si>
  <si>
    <t>Combate à discriminação</t>
  </si>
  <si>
    <t>Cidadania</t>
  </si>
  <si>
    <t>Dignidade da pessoa humana</t>
  </si>
  <si>
    <t>Lei nº 7.210/1984 – Lei de Execução Penal (LEP)</t>
  </si>
  <si>
    <t>Objetivos e aplicação da execução penal</t>
  </si>
  <si>
    <t>Direitos e deveres da pessoa privada de liberdade</t>
  </si>
  <si>
    <t>Individualização da pena</t>
  </si>
  <si>
    <t>Órgãos da Execução Penal</t>
  </si>
  <si>
    <t>Conselho Nacional de Política Criminal e Penitenciária</t>
  </si>
  <si>
    <t>Juízo da execução penal</t>
  </si>
  <si>
    <t>Ministério Público e Defensoria Pública</t>
  </si>
  <si>
    <t>Conselho Penitenciário e Patronato</t>
  </si>
  <si>
    <t>Estabelecimentos Penais</t>
  </si>
  <si>
    <t>Espécies de estabelecimentos penais</t>
  </si>
  <si>
    <t>Cadeia pública, penitenciária e colônia agrícola</t>
  </si>
  <si>
    <t>Casa do albergado e hospital de custódia</t>
  </si>
  <si>
    <t>Lotação e estrutura prisional</t>
  </si>
  <si>
    <t>Execução das Penas Privativas de Liberdade</t>
  </si>
  <si>
    <t>Regimes fechado, semiaberto e aberto</t>
  </si>
  <si>
    <t>Progressão e regressão de regime</t>
  </si>
  <si>
    <t>Trabalho do preso</t>
  </si>
  <si>
    <t>Remição da pena</t>
  </si>
  <si>
    <t>Disciplina e Segurança Prisional</t>
  </si>
  <si>
    <t>Faltas disciplinares</t>
  </si>
  <si>
    <t>Sanções disciplinares</t>
  </si>
  <si>
    <t>Regime disciplinar diferenciado (RDD)</t>
  </si>
  <si>
    <t>Segurança e ordem no ambiente prisional</t>
  </si>
  <si>
    <t>Benefícios da Execução Penal</t>
  </si>
  <si>
    <t>Saída temporária</t>
  </si>
  <si>
    <t>Livramento condicional</t>
  </si>
  <si>
    <t>Indulto e comutação de pena</t>
  </si>
  <si>
    <t>Monitoração eletrônica</t>
  </si>
  <si>
    <t>Classes de palavras: variáveis e invariáveis e suas funções no texto</t>
  </si>
  <si>
    <t>Concordâncias: verbal e nominal</t>
  </si>
  <si>
    <t>Economia e fiscalidade no período colonial: Arrecadação de tributos na Capitania do Rio Grande</t>
  </si>
  <si>
    <t>Terra dos salineiros: Trabalhadores da extração de sal no Rio Grande do Norte</t>
  </si>
  <si>
    <t>Representatividade potiguar na comunicação nacional com o jornal “O Mossoroense”, o 3º jornal mais antigo do Brasil</t>
  </si>
  <si>
    <t>Populações indígenas no Rio Grande do Norte</t>
  </si>
  <si>
    <t>Comunidades quilombolas no estado do Rio Grande do Norte</t>
  </si>
  <si>
    <t>Ética: princípios e valores</t>
  </si>
  <si>
    <t>Hierárquico, disciplinar, regulamentar</t>
  </si>
  <si>
    <t>Entidades paraestatais e terceiro setor: serviços sociais autônomos, entidades de apoio, organizações sociais, organizações da sociedade civil de interesse público</t>
  </si>
  <si>
    <t>Legislação: Lei de Improbidade Administrativa (Lei Federal nº 8.429/1992); Lei de Responsabilidade Fiscal (Lei Complementar Federal nº 101/2000); Lei de Acesso à Informação (Lei Federal nº 12.527/2011); Lei Anticorrupção (Lei Federal nº 12.846/2013); Licitações e Lei de Licitações e Contratos (Lei Federal nº 14.133/2021); Processo Administrativo RN: Lei Complementar nº 303, de 9 de setembro de 2005; Bens públicos; Lei Geral de Proteção de Dados (Lei Federal nº 13.709/2018); Planejamento e orçamento público (PPA, LDO, LOA), controle fiscal, planejamento governamental: conceitos e elementos</t>
  </si>
  <si>
    <t>Constituição do Estado do Rio Grande do Norte</t>
  </si>
  <si>
    <t>Emenda Constitucional 104/2019 da Constituição Federal</t>
  </si>
  <si>
    <t>Lei Complementar Estadual nº 566/2016 e suas alterações posteriores</t>
  </si>
  <si>
    <t>Lei</t>
  </si>
  <si>
    <t>Decreto-Lei nº 2.848/1940 – Código Penal</t>
  </si>
  <si>
    <t>Aplicação da lei penal</t>
  </si>
  <si>
    <t>Crime: conceito, elementos e classificação</t>
  </si>
  <si>
    <t>Imputabilidade penal</t>
  </si>
  <si>
    <t>Concurso de pessoas</t>
  </si>
  <si>
    <t>Penas: espécies, aplicação e extinção da punibilidade</t>
  </si>
  <si>
    <t>Crimes em espécie</t>
  </si>
  <si>
    <t>Crimes contra a pessoa</t>
  </si>
  <si>
    <t>Crimes contra o patrimônio</t>
  </si>
  <si>
    <t>Crimes contra a administração pública</t>
  </si>
  <si>
    <t>Crimes praticados por funcionário público</t>
  </si>
  <si>
    <t>Crimes hediondos</t>
  </si>
  <si>
    <t>Legislação Penal Especial</t>
  </si>
  <si>
    <t>Lei nº 8.072/1990 – Lei dos Crimes Hediondos</t>
  </si>
  <si>
    <t>Lei nº 11.343/2006 – Lei de Drogas</t>
  </si>
  <si>
    <t>Lei nº 12.850/2013 – Lei de Organização Criminosa</t>
  </si>
  <si>
    <t>Lei nº 9.455/1997 – Lei de Tortura</t>
  </si>
  <si>
    <t>Lei nº 13.869/2019 – Lei de Abuso de Autoridade</t>
  </si>
  <si>
    <t>Decreto-Lei nº 3.689/1941 – Código de Processo Penal</t>
  </si>
  <si>
    <t>Ação penal</t>
  </si>
  <si>
    <t>Jurisdição e competência</t>
  </si>
  <si>
    <t>Sujeitos do processo penal</t>
  </si>
  <si>
    <t>Prisões e medidas cautelares</t>
  </si>
  <si>
    <t>Prisão em flagrante</t>
  </si>
  <si>
    <t>Prisão preventiva</t>
  </si>
  <si>
    <t>Prisão temporária</t>
  </si>
  <si>
    <t>Liberdade provisória</t>
  </si>
  <si>
    <t>Medidas cautelares diversas da prisão</t>
  </si>
  <si>
    <t>Provas no processo penal</t>
  </si>
  <si>
    <t>Conceito e princípios da prova</t>
  </si>
  <si>
    <t>Cadeia de custódia</t>
  </si>
  <si>
    <t>Busca e apreensão</t>
  </si>
  <si>
    <t>Interrogatório e confissão</t>
  </si>
  <si>
    <t>Provas ilícitas</t>
  </si>
  <si>
    <t>Procedimentos e recursos</t>
  </si>
  <si>
    <t>Procedimentos comuns e especiais</t>
  </si>
  <si>
    <t>Sentença penal</t>
  </si>
  <si>
    <t>Recursos no processo penal</t>
  </si>
  <si>
    <t>Habeas corpus e revisão criminal</t>
  </si>
  <si>
    <t>Direitos Humanos aplicados ao Direito Penal e Processual Penal</t>
  </si>
  <si>
    <t>Devido processo legal</t>
  </si>
  <si>
    <t>Contraditório e ampla defesa</t>
  </si>
  <si>
    <t>Presunção de inocência</t>
  </si>
  <si>
    <t>DR.  E PROC/PENAL</t>
  </si>
  <si>
    <t>Hist/AspctGeo</t>
  </si>
  <si>
    <t>Leg Especifica</t>
  </si>
  <si>
    <t>Dr Adm</t>
  </si>
  <si>
    <t>Etica</t>
  </si>
  <si>
    <t>Dr Humanos</t>
  </si>
  <si>
    <t>Inquérito policial (aula 1 a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</si>
</sst>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F400]h:mm:ss\ AM/PM"/>
  </numFmts>
  <fonts count="3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b/>
      <sz val="10"/>
      <name val="Arial"/>
      <family val="2"/>
    </font>
    <font>
      <b/>
      <sz val="10"/>
      <color theme="1"/>
      <name val="Aptos Narrow"/>
      <family val="2"/>
      <scheme val="minor"/>
    </font>
    <font>
      <b/>
      <sz val="10"/>
      <color theme="0"/>
      <name val="Bahnschrift"/>
      <family val="2"/>
    </font>
    <font>
      <sz val="20"/>
      <color theme="0"/>
      <name val="Aptos Narrow"/>
      <family val="2"/>
      <scheme val="minor"/>
    </font>
    <font>
      <b/>
      <sz val="22"/>
      <color theme="0"/>
      <name val="Aptos Narrow"/>
      <family val="2"/>
      <scheme val="minor"/>
    </font>
    <font>
      <b/>
      <sz val="10"/>
      <color theme="0"/>
      <name val="Aptos Display"/>
      <family val="2"/>
    </font>
    <font>
      <b/>
      <sz val="10"/>
      <color rgb="FFFFFF00"/>
      <name val="Aptos Display"/>
      <family val="2"/>
    </font>
    <font>
      <b/>
      <sz val="11"/>
      <color rgb="FFFF0000"/>
      <name val="Aptos Narrow"/>
      <family val="2"/>
      <scheme val="minor"/>
    </font>
    <font>
      <sz val="20"/>
      <name val="Aptos Narrow"/>
      <family val="2"/>
      <scheme val="minor"/>
    </font>
    <font>
      <sz val="11"/>
      <color rgb="FFFF0000"/>
      <name val="Aptos Narrow"/>
      <family val="2"/>
      <scheme val="minor"/>
    </font>
    <font>
      <sz val="12"/>
      <color theme="1"/>
      <name val="Aptos Narrow"/>
      <family val="2"/>
      <scheme val="minor"/>
    </font>
    <font>
      <b/>
      <sz val="14"/>
      <color rgb="FFFF0000"/>
      <name val="Aptos Narrow"/>
      <family val="2"/>
      <scheme val="minor"/>
    </font>
    <font>
      <b/>
      <sz val="25"/>
      <color theme="0"/>
      <name val="Aptos Narrow"/>
      <family val="2"/>
      <scheme val="minor"/>
    </font>
    <font>
      <b/>
      <sz val="14"/>
      <color rgb="FF00FFCC"/>
      <name val="Aptos Narrow"/>
      <family val="2"/>
      <scheme val="minor"/>
    </font>
    <font>
      <b/>
      <sz val="30"/>
      <color theme="0"/>
      <name val="Aptos Narrow"/>
      <family val="2"/>
      <scheme val="minor"/>
    </font>
    <font>
      <b/>
      <sz val="14"/>
      <color theme="0"/>
      <name val="Aptos Narrow"/>
      <family val="2"/>
      <scheme val="minor"/>
    </font>
    <font>
      <b/>
      <sz val="18"/>
      <color theme="0"/>
      <name val="Aptos Narrow"/>
      <family val="2"/>
      <scheme val="minor"/>
    </font>
    <font>
      <sz val="11"/>
      <name val="Aptos Narrow"/>
      <family val="2"/>
      <scheme val="minor"/>
    </font>
    <font>
      <sz val="22"/>
      <color theme="0"/>
      <name val="Aptos Narrow"/>
      <family val="2"/>
      <scheme val="minor"/>
    </font>
    <font>
      <sz val="11"/>
      <color theme="0"/>
      <name val="Aptos Narrow"/>
      <family val="2"/>
      <scheme val="minor"/>
    </font>
    <font>
      <b/>
      <sz val="20"/>
      <color theme="0"/>
      <name val="Aptos Narrow"/>
      <family val="2"/>
      <scheme val="minor"/>
    </font>
    <font>
      <sz val="14"/>
      <color rgb="FFFF0000"/>
      <name val="Aptos Narrow"/>
      <family val="2"/>
      <scheme val="minor"/>
    </font>
    <font>
      <sz val="16"/>
      <color rgb="FFFF0000"/>
      <name val="Aptos Narrow"/>
      <family val="2"/>
      <scheme val="minor"/>
    </font>
    <font>
      <b/>
      <sz val="11"/>
      <color theme="5"/>
      <name val="Aptos Narrow"/>
      <scheme val="minor"/>
    </font>
    <font>
      <b/>
      <sz val="14"/>
      <color rgb="FFFF0000"/>
      <name val="Aptos Narrow"/>
      <scheme val="minor"/>
    </font>
    <font>
      <sz val="14"/>
      <color rgb="FFFF0000"/>
      <name val="Aptos Narrow"/>
      <scheme val="minor"/>
    </font>
    <font>
      <b/>
      <sz val="11"/>
      <color theme="0"/>
      <name val="Aptos Narrow"/>
      <scheme val="minor"/>
    </font>
    <font>
      <sz val="11"/>
      <color theme="0"/>
      <name val="Aptos Narrow"/>
      <scheme val="minor"/>
    </font>
    <font>
      <sz val="36"/>
      <name val="Aptos Narrow"/>
      <family val="2"/>
      <scheme val="minor"/>
    </font>
    <font>
      <sz val="10"/>
      <color theme="1"/>
      <name val="Segoe UI"/>
      <family val="2"/>
    </font>
  </fonts>
  <fills count="15">
    <fill>
      <patternFill patternType="none"/>
    </fill>
    <fill>
      <patternFill patternType="gray125"/>
    </fill>
    <fill>
      <patternFill patternType="solid">
        <fgColor theme="2" tint="-0.74999237037263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1" tint="0.249977111117893"/>
        <bgColor indexed="64"/>
      </patternFill>
    </fill>
    <fill>
      <patternFill patternType="solid">
        <fgColor theme="1"/>
        <bgColor indexed="64"/>
      </patternFill>
    </fill>
    <fill>
      <patternFill patternType="solid">
        <fgColor rgb="FFFFFF00"/>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theme="2" tint="-0.89999084444715716"/>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right style="thick">
        <color indexed="64"/>
      </right>
      <top style="medium">
        <color indexed="64"/>
      </top>
      <bottom style="thin">
        <color indexed="64"/>
      </bottom>
      <diagonal/>
    </border>
    <border>
      <left/>
      <right style="thick">
        <color indexed="64"/>
      </right>
      <top/>
      <bottom/>
      <diagonal/>
    </border>
    <border>
      <left/>
      <right style="thick">
        <color indexed="64"/>
      </right>
      <top/>
      <bottom style="thin">
        <color indexed="64"/>
      </bottom>
      <diagonal/>
    </border>
    <border>
      <left style="thin">
        <color indexed="64"/>
      </left>
      <right style="thick">
        <color indexed="64"/>
      </right>
      <top/>
      <bottom style="thin">
        <color indexed="64"/>
      </bottom>
      <diagonal/>
    </border>
    <border>
      <left/>
      <right style="thick">
        <color indexed="64"/>
      </right>
      <top style="thin">
        <color indexed="64"/>
      </top>
      <bottom style="double">
        <color indexed="64"/>
      </bottom>
      <diagonal/>
    </border>
    <border>
      <left style="thin">
        <color indexed="64"/>
      </left>
      <right style="thick">
        <color indexed="64"/>
      </right>
      <top style="thin">
        <color indexed="64"/>
      </top>
      <bottom style="double">
        <color indexed="64"/>
      </bottom>
      <diagonal/>
    </border>
    <border>
      <left/>
      <right style="thick">
        <color indexed="64"/>
      </right>
      <top style="medium">
        <color indexed="64"/>
      </top>
      <bottom style="medium">
        <color indexed="64"/>
      </bottom>
      <diagonal/>
    </border>
    <border>
      <left/>
      <right style="thin">
        <color indexed="64"/>
      </right>
      <top style="thin">
        <color indexed="64"/>
      </top>
      <bottom style="double">
        <color indexed="64"/>
      </bottom>
      <diagonal/>
    </border>
    <border>
      <left style="thick">
        <color indexed="64"/>
      </left>
      <right style="thick">
        <color indexed="64"/>
      </right>
      <top style="medium">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top/>
      <bottom style="medium">
        <color indexed="64"/>
      </bottom>
      <diagonal/>
    </border>
    <border>
      <left style="thick">
        <color indexed="64"/>
      </left>
      <right/>
      <top/>
      <bottom style="thin">
        <color indexed="64"/>
      </bottom>
      <diagonal/>
    </border>
    <border>
      <left style="thick">
        <color indexed="64"/>
      </left>
      <right/>
      <top/>
      <bottom/>
      <diagonal/>
    </border>
    <border>
      <left/>
      <right/>
      <top style="thick">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9" fontId="1" fillId="0" borderId="0" applyFont="0" applyFill="0" applyBorder="0" applyAlignment="0" applyProtection="0"/>
  </cellStyleXfs>
  <cellXfs count="152">
    <xf numFmtId="0" fontId="0" fillId="0" borderId="0" xfId="0"/>
    <xf numFmtId="0" fontId="0" fillId="0" borderId="0" xfId="0" applyAlignment="1">
      <alignment horizontal="center" vertical="center"/>
    </xf>
    <xf numFmtId="0" fontId="4" fillId="3" borderId="14" xfId="0" applyFont="1" applyFill="1" applyBorder="1" applyAlignment="1" applyProtection="1">
      <alignment horizontal="left" vertical="center" wrapText="1"/>
      <protection locked="0"/>
    </xf>
    <xf numFmtId="0" fontId="0" fillId="0" borderId="6" xfId="0" applyBorder="1" applyAlignment="1">
      <alignment horizontal="center" vertical="center"/>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left" vertical="center"/>
    </xf>
    <xf numFmtId="0" fontId="8" fillId="7" borderId="1" xfId="0"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0" fontId="9" fillId="2" borderId="2" xfId="0" quotePrefix="1" applyFont="1" applyFill="1" applyBorder="1" applyAlignment="1" applyProtection="1">
      <alignment horizontal="center" vertical="center"/>
      <protection hidden="1"/>
    </xf>
    <xf numFmtId="0" fontId="9" fillId="2" borderId="16" xfId="0" quotePrefix="1" applyFont="1" applyFill="1" applyBorder="1" applyAlignment="1" applyProtection="1">
      <alignment horizontal="center" vertical="center"/>
      <protection hidden="1"/>
    </xf>
    <xf numFmtId="0" fontId="9" fillId="2" borderId="15" xfId="0" applyFont="1" applyFill="1" applyBorder="1" applyAlignment="1" applyProtection="1">
      <alignment horizontal="center" vertical="center"/>
      <protection hidden="1"/>
    </xf>
    <xf numFmtId="0" fontId="10" fillId="2" borderId="15" xfId="0" applyFont="1" applyFill="1" applyBorder="1" applyAlignment="1" applyProtection="1">
      <alignment horizontal="center" vertical="center"/>
      <protection hidden="1"/>
    </xf>
    <xf numFmtId="0" fontId="0" fillId="0" borderId="30" xfId="0" applyBorder="1" applyAlignment="1">
      <alignment horizontal="center" vertical="center"/>
    </xf>
    <xf numFmtId="0" fontId="6" fillId="7" borderId="23" xfId="0" applyFont="1" applyFill="1" applyBorder="1" applyAlignment="1" applyProtection="1">
      <alignment horizontal="center" vertical="center" wrapText="1"/>
      <protection hidden="1"/>
    </xf>
    <xf numFmtId="0" fontId="6" fillId="7" borderId="10" xfId="0" applyFont="1" applyFill="1" applyBorder="1" applyAlignment="1" applyProtection="1">
      <alignment horizontal="center" vertical="center" wrapText="1"/>
      <protection hidden="1"/>
    </xf>
    <xf numFmtId="0" fontId="6" fillId="7" borderId="21" xfId="0" applyFont="1" applyFill="1" applyBorder="1" applyAlignment="1" applyProtection="1">
      <alignment horizontal="center" vertical="center" wrapText="1"/>
      <protection hidden="1"/>
    </xf>
    <xf numFmtId="0" fontId="6" fillId="7" borderId="23" xfId="0" applyFont="1" applyFill="1" applyBorder="1" applyAlignment="1" applyProtection="1">
      <alignment horizontal="center" vertical="center"/>
      <protection hidden="1"/>
    </xf>
    <xf numFmtId="0" fontId="6" fillId="7" borderId="10" xfId="0" applyFont="1" applyFill="1" applyBorder="1" applyAlignment="1" applyProtection="1">
      <alignment horizontal="center" vertical="center"/>
      <protection hidden="1"/>
    </xf>
    <xf numFmtId="0" fontId="6" fillId="7" borderId="21" xfId="0" applyFont="1" applyFill="1" applyBorder="1" applyAlignment="1" applyProtection="1">
      <alignment horizontal="center" vertical="center"/>
      <protection hidden="1"/>
    </xf>
    <xf numFmtId="0" fontId="2" fillId="7" borderId="7"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6" xfId="0" quotePrefix="1" applyFont="1" applyFill="1" applyBorder="1" applyAlignment="1">
      <alignment horizontal="center" vertical="center"/>
    </xf>
    <xf numFmtId="9" fontId="0" fillId="4" borderId="2" xfId="1" applyFont="1" applyFill="1" applyBorder="1" applyAlignment="1">
      <alignment horizontal="center" vertical="center"/>
    </xf>
    <xf numFmtId="0" fontId="0" fillId="4" borderId="2" xfId="0" applyFill="1" applyBorder="1" applyAlignment="1">
      <alignment horizontal="center" vertical="center"/>
    </xf>
    <xf numFmtId="0" fontId="0" fillId="3" borderId="0" xfId="0" applyFill="1"/>
    <xf numFmtId="0" fontId="0" fillId="8" borderId="0" xfId="0" applyFill="1"/>
    <xf numFmtId="21" fontId="0" fillId="0" borderId="0" xfId="0" applyNumberFormat="1" applyAlignment="1">
      <alignment horizontal="center" vertical="center"/>
    </xf>
    <xf numFmtId="0" fontId="7" fillId="7" borderId="0" xfId="0" applyFont="1" applyFill="1" applyAlignment="1">
      <alignment vertical="center"/>
    </xf>
    <xf numFmtId="0" fontId="7" fillId="7" borderId="27" xfId="0" applyFont="1" applyFill="1" applyBorder="1" applyAlignment="1">
      <alignment vertical="center"/>
    </xf>
    <xf numFmtId="165" fontId="0" fillId="0" borderId="0" xfId="0" applyNumberFormat="1" applyAlignment="1">
      <alignment horizontal="center" vertical="center"/>
    </xf>
    <xf numFmtId="0" fontId="0" fillId="0" borderId="4" xfId="0" applyBorder="1" applyAlignment="1">
      <alignment horizontal="center" vertical="center"/>
    </xf>
    <xf numFmtId="165" fontId="0" fillId="0" borderId="2" xfId="0" applyNumberFormat="1" applyBorder="1" applyAlignment="1">
      <alignment horizontal="center" vertical="center"/>
    </xf>
    <xf numFmtId="14" fontId="0" fillId="0" borderId="0" xfId="0" applyNumberFormat="1" applyAlignment="1">
      <alignment horizontal="center" vertical="center"/>
    </xf>
    <xf numFmtId="14" fontId="0" fillId="9" borderId="0" xfId="0" applyNumberFormat="1" applyFill="1" applyAlignment="1">
      <alignment horizontal="center" vertical="center"/>
    </xf>
    <xf numFmtId="0" fontId="0" fillId="8" borderId="0" xfId="0" applyFill="1" applyAlignment="1">
      <alignment horizontal="center" vertical="center"/>
    </xf>
    <xf numFmtId="165" fontId="0" fillId="8" borderId="0" xfId="0" applyNumberFormat="1" applyFill="1" applyAlignment="1">
      <alignment horizontal="center" vertical="center"/>
    </xf>
    <xf numFmtId="0" fontId="0" fillId="3" borderId="0" xfId="0" applyFill="1" applyAlignment="1">
      <alignment horizontal="center" vertical="center"/>
    </xf>
    <xf numFmtId="165" fontId="0" fillId="3" borderId="0" xfId="0" applyNumberFormat="1" applyFill="1" applyAlignment="1">
      <alignment horizontal="center" vertical="center"/>
    </xf>
    <xf numFmtId="0" fontId="3" fillId="3" borderId="2" xfId="0" applyFont="1" applyFill="1" applyBorder="1" applyAlignment="1">
      <alignment horizontal="center" vertical="center" wrapText="1"/>
    </xf>
    <xf numFmtId="0" fontId="3" fillId="3" borderId="2" xfId="0" quotePrefix="1" applyFont="1" applyFill="1" applyBorder="1" applyAlignment="1">
      <alignment horizontal="center" vertical="center" wrapText="1"/>
    </xf>
    <xf numFmtId="165" fontId="3" fillId="3" borderId="2" xfId="0" quotePrefix="1" applyNumberFormat="1" applyFont="1" applyFill="1" applyBorder="1" applyAlignment="1">
      <alignment horizontal="center" vertical="center" wrapText="1"/>
    </xf>
    <xf numFmtId="0" fontId="0" fillId="3" borderId="0" xfId="0" applyFill="1" applyAlignment="1">
      <alignment horizontal="center" vertical="center" wrapText="1"/>
    </xf>
    <xf numFmtId="0" fontId="11" fillId="3" borderId="2" xfId="0" quotePrefix="1" applyFont="1" applyFill="1" applyBorder="1" applyAlignment="1">
      <alignment horizontal="center" vertical="center"/>
    </xf>
    <xf numFmtId="0" fontId="0" fillId="3" borderId="2" xfId="0" applyFill="1" applyBorder="1" applyAlignment="1">
      <alignment horizontal="center" vertical="center"/>
    </xf>
    <xf numFmtId="164" fontId="0" fillId="3" borderId="2" xfId="1" applyNumberFormat="1" applyFont="1" applyFill="1" applyBorder="1" applyAlignment="1">
      <alignment horizontal="center" vertical="center"/>
    </xf>
    <xf numFmtId="165" fontId="0" fillId="3" borderId="2" xfId="0" applyNumberFormat="1" applyFill="1" applyBorder="1" applyAlignment="1">
      <alignment horizontal="center" vertical="center"/>
    </xf>
    <xf numFmtId="14" fontId="0" fillId="3" borderId="2" xfId="0" applyNumberFormat="1" applyFill="1" applyBorder="1" applyAlignment="1">
      <alignment horizontal="center" vertical="center"/>
    </xf>
    <xf numFmtId="14" fontId="0" fillId="3" borderId="4" xfId="0" applyNumberFormat="1" applyFill="1" applyBorder="1" applyAlignment="1">
      <alignment horizontal="center" vertical="center"/>
    </xf>
    <xf numFmtId="164" fontId="0" fillId="0" borderId="0" xfId="1" applyNumberFormat="1" applyFont="1"/>
    <xf numFmtId="165" fontId="0" fillId="0" borderId="0" xfId="0" applyNumberFormat="1"/>
    <xf numFmtId="164" fontId="0" fillId="0" borderId="2" xfId="1" applyNumberFormat="1" applyFont="1" applyBorder="1" applyAlignment="1">
      <alignment horizontal="center" vertical="center"/>
    </xf>
    <xf numFmtId="9" fontId="0" fillId="0" borderId="2" xfId="1" applyFont="1" applyBorder="1" applyAlignment="1">
      <alignment horizontal="center" vertical="center"/>
    </xf>
    <xf numFmtId="165" fontId="0" fillId="0" borderId="8" xfId="0" applyNumberFormat="1" applyBorder="1" applyAlignment="1">
      <alignment horizontal="center" vertical="center"/>
    </xf>
    <xf numFmtId="164" fontId="0" fillId="0" borderId="0" xfId="1" applyNumberFormat="1" applyFont="1" applyAlignment="1">
      <alignment horizontal="center" vertical="center"/>
    </xf>
    <xf numFmtId="0" fontId="0" fillId="0" borderId="0" xfId="0" quotePrefix="1" applyAlignment="1">
      <alignment horizontal="left"/>
    </xf>
    <xf numFmtId="0" fontId="0" fillId="0" borderId="31" xfId="0" applyBorder="1" applyAlignment="1">
      <alignment horizontal="center" vertical="center"/>
    </xf>
    <xf numFmtId="0" fontId="0" fillId="0" borderId="2" xfId="0" quotePrefix="1" applyBorder="1" applyAlignment="1">
      <alignment horizontal="center" vertical="center"/>
    </xf>
    <xf numFmtId="0" fontId="0" fillId="0" borderId="0" xfId="1" applyNumberFormat="1" applyFont="1"/>
    <xf numFmtId="165" fontId="0" fillId="11" borderId="2" xfId="0" applyNumberFormat="1" applyFill="1" applyBorder="1" applyAlignment="1">
      <alignment horizontal="center" vertical="center"/>
    </xf>
    <xf numFmtId="165" fontId="0" fillId="6" borderId="2" xfId="0" applyNumberFormat="1" applyFill="1" applyBorder="1" applyAlignment="1">
      <alignment horizontal="center" vertical="center"/>
    </xf>
    <xf numFmtId="165" fontId="0" fillId="10" borderId="2" xfId="0" applyNumberFormat="1" applyFill="1" applyBorder="1" applyAlignment="1">
      <alignment horizontal="center" vertical="center"/>
    </xf>
    <xf numFmtId="0" fontId="19" fillId="8" borderId="0" xfId="0" applyFont="1" applyFill="1" applyAlignment="1" applyProtection="1">
      <alignment horizontal="center" vertical="center"/>
      <protection hidden="1"/>
    </xf>
    <xf numFmtId="14" fontId="20" fillId="8" borderId="0" xfId="0" applyNumberFormat="1" applyFont="1" applyFill="1" applyAlignment="1" applyProtection="1">
      <alignment horizontal="center" vertical="center"/>
      <protection hidden="1"/>
    </xf>
    <xf numFmtId="0" fontId="20" fillId="8" borderId="0" xfId="0" applyFont="1" applyFill="1" applyAlignment="1" applyProtection="1">
      <alignment horizontal="center" vertical="center"/>
      <protection hidden="1"/>
    </xf>
    <xf numFmtId="14" fontId="21" fillId="3" borderId="2" xfId="0" applyNumberFormat="1" applyFont="1" applyFill="1" applyBorder="1" applyAlignment="1">
      <alignment horizontal="center" vertical="center"/>
    </xf>
    <xf numFmtId="0" fontId="8" fillId="7" borderId="1" xfId="0" quotePrefix="1" applyFont="1" applyFill="1" applyBorder="1" applyAlignment="1" applyProtection="1">
      <alignment horizontal="center" vertical="center"/>
      <protection locked="0"/>
    </xf>
    <xf numFmtId="0" fontId="24" fillId="7" borderId="1" xfId="0" quotePrefix="1" applyFont="1" applyFill="1" applyBorder="1" applyAlignment="1" applyProtection="1">
      <alignment horizontal="center" vertical="center"/>
      <protection locked="0"/>
    </xf>
    <xf numFmtId="14" fontId="23" fillId="3" borderId="0" xfId="0" applyNumberFormat="1" applyFont="1" applyFill="1"/>
    <xf numFmtId="0" fontId="5" fillId="3" borderId="2" xfId="0" applyFont="1" applyFill="1" applyBorder="1" applyAlignment="1" applyProtection="1">
      <alignment horizontal="center" vertical="center" wrapText="1"/>
      <protection locked="0"/>
    </xf>
    <xf numFmtId="0" fontId="5" fillId="12" borderId="2" xfId="0" applyFont="1" applyFill="1" applyBorder="1" applyAlignment="1" applyProtection="1">
      <alignment horizontal="center" vertical="center" wrapText="1"/>
      <protection locked="0"/>
    </xf>
    <xf numFmtId="0" fontId="0" fillId="12" borderId="2" xfId="0" applyFill="1" applyBorder="1" applyAlignment="1">
      <alignment horizontal="center" vertical="center"/>
    </xf>
    <xf numFmtId="20" fontId="5" fillId="3" borderId="2" xfId="0" applyNumberFormat="1" applyFont="1" applyFill="1" applyBorder="1" applyAlignment="1" applyProtection="1">
      <alignment horizontal="center" vertical="center" wrapText="1"/>
      <protection locked="0"/>
    </xf>
    <xf numFmtId="0" fontId="5" fillId="12" borderId="33" xfId="0" applyFont="1" applyFill="1" applyBorder="1" applyAlignment="1" applyProtection="1">
      <alignment horizontal="center" vertical="center" wrapText="1"/>
      <protection locked="0"/>
    </xf>
    <xf numFmtId="0" fontId="0" fillId="5" borderId="2" xfId="0" applyFill="1" applyBorder="1" applyAlignment="1" applyProtection="1">
      <alignment horizontal="center" vertical="center"/>
      <protection hidden="1"/>
    </xf>
    <xf numFmtId="0" fontId="0" fillId="12" borderId="2" xfId="0" applyFill="1" applyBorder="1" applyAlignment="1" applyProtection="1">
      <alignment horizontal="center" vertical="center"/>
      <protection hidden="1"/>
    </xf>
    <xf numFmtId="16" fontId="27" fillId="8" borderId="0" xfId="0" applyNumberFormat="1" applyFont="1" applyFill="1" applyAlignment="1" applyProtection="1">
      <alignment horizontal="center" vertical="center" wrapText="1"/>
      <protection hidden="1"/>
    </xf>
    <xf numFmtId="0" fontId="27" fillId="0" borderId="0" xfId="0" applyFont="1" applyAlignment="1">
      <alignment wrapText="1"/>
    </xf>
    <xf numFmtId="16" fontId="27" fillId="8" borderId="2" xfId="0" applyNumberFormat="1" applyFont="1" applyFill="1" applyBorder="1" applyAlignment="1" applyProtection="1">
      <alignment horizontal="center" vertical="center" wrapText="1"/>
      <protection hidden="1"/>
    </xf>
    <xf numFmtId="0" fontId="28" fillId="14" borderId="0" xfId="0" applyFont="1" applyFill="1" applyAlignment="1" applyProtection="1">
      <alignment horizontal="center" vertical="center" wrapText="1"/>
      <protection hidden="1"/>
    </xf>
    <xf numFmtId="0" fontId="28" fillId="13" borderId="2" xfId="0" applyFont="1" applyFill="1" applyBorder="1" applyAlignment="1" applyProtection="1">
      <alignment horizontal="center" vertical="center" wrapText="1"/>
      <protection locked="0"/>
    </xf>
    <xf numFmtId="0" fontId="28" fillId="12" borderId="2" xfId="0" applyFont="1" applyFill="1" applyBorder="1" applyAlignment="1" applyProtection="1">
      <alignment horizontal="center" vertical="center" wrapText="1"/>
      <protection locked="0"/>
    </xf>
    <xf numFmtId="0" fontId="29" fillId="0" borderId="0" xfId="0" applyFont="1"/>
    <xf numFmtId="0" fontId="29" fillId="12" borderId="2" xfId="0" applyFont="1" applyFill="1" applyBorder="1" applyAlignment="1" applyProtection="1">
      <alignment horizontal="center" vertical="center"/>
      <protection hidden="1"/>
    </xf>
    <xf numFmtId="0" fontId="28" fillId="12" borderId="2" xfId="0" applyFont="1" applyFill="1" applyBorder="1" applyAlignment="1" applyProtection="1">
      <alignment horizontal="center" vertical="center"/>
      <protection locked="0"/>
    </xf>
    <xf numFmtId="0" fontId="28" fillId="12" borderId="33" xfId="0" applyFont="1" applyFill="1" applyBorder="1" applyAlignment="1" applyProtection="1">
      <alignment horizontal="center" vertical="center"/>
      <protection locked="0"/>
    </xf>
    <xf numFmtId="14" fontId="27" fillId="8" borderId="32" xfId="0" applyNumberFormat="1" applyFont="1" applyFill="1" applyBorder="1" applyAlignment="1" applyProtection="1">
      <alignment horizontal="center" vertical="center" wrapText="1"/>
      <protection hidden="1"/>
    </xf>
    <xf numFmtId="14" fontId="27" fillId="8" borderId="2" xfId="0" applyNumberFormat="1" applyFont="1" applyFill="1" applyBorder="1" applyAlignment="1" applyProtection="1">
      <alignment horizontal="center" vertical="center" wrapText="1"/>
      <protection hidden="1"/>
    </xf>
    <xf numFmtId="14" fontId="27" fillId="8" borderId="31" xfId="0" applyNumberFormat="1" applyFont="1" applyFill="1" applyBorder="1" applyAlignment="1" applyProtection="1">
      <alignment horizontal="center" vertical="center" wrapText="1"/>
      <protection hidden="1"/>
    </xf>
    <xf numFmtId="0" fontId="29" fillId="8" borderId="0" xfId="0" applyFont="1" applyFill="1"/>
    <xf numFmtId="0" fontId="30" fillId="0" borderId="0" xfId="0" applyFont="1" applyAlignment="1">
      <alignment wrapText="1"/>
    </xf>
    <xf numFmtId="0" fontId="31" fillId="0" borderId="0" xfId="0" applyFont="1"/>
    <xf numFmtId="10" fontId="27" fillId="0" borderId="0" xfId="1" applyNumberFormat="1" applyFont="1" applyAlignment="1">
      <alignment wrapText="1"/>
    </xf>
    <xf numFmtId="0" fontId="27" fillId="0" borderId="0" xfId="1" applyNumberFormat="1" applyFont="1" applyAlignment="1">
      <alignment wrapText="1"/>
    </xf>
    <xf numFmtId="0" fontId="0" fillId="3" borderId="32" xfId="0" applyFill="1" applyBorder="1"/>
    <xf numFmtId="0" fontId="0" fillId="3" borderId="7" xfId="0" applyFill="1" applyBorder="1"/>
    <xf numFmtId="0" fontId="0" fillId="3" borderId="3" xfId="0" applyFill="1" applyBorder="1"/>
    <xf numFmtId="0" fontId="4" fillId="3" borderId="2" xfId="0" applyFont="1" applyFill="1" applyBorder="1" applyAlignment="1" applyProtection="1">
      <alignment horizontal="left" vertical="center" wrapText="1"/>
      <protection locked="0"/>
    </xf>
    <xf numFmtId="0" fontId="33" fillId="0" borderId="0" xfId="0" applyFont="1" applyAlignment="1">
      <alignment horizontal="left" vertical="center" wrapText="1"/>
    </xf>
    <xf numFmtId="0" fontId="0" fillId="0" borderId="2" xfId="0" applyBorder="1"/>
    <xf numFmtId="0" fontId="0" fillId="0" borderId="0" xfId="0" applyAlignment="1" applyProtection="1">
      <alignment horizontal="center" vertical="center"/>
      <protection hidden="1"/>
    </xf>
    <xf numFmtId="0" fontId="0" fillId="0" borderId="32" xfId="0" applyBorder="1" applyAlignment="1" applyProtection="1">
      <alignment horizontal="center" vertical="center"/>
      <protection hidden="1"/>
    </xf>
    <xf numFmtId="0" fontId="0" fillId="0" borderId="3" xfId="0"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26" fillId="8" borderId="0" xfId="0" applyFont="1" applyFill="1" applyAlignment="1">
      <alignment horizontal="center" vertical="center"/>
    </xf>
    <xf numFmtId="0" fontId="7" fillId="7" borderId="0" xfId="0" applyFont="1" applyFill="1" applyAlignment="1">
      <alignment horizontal="center" vertical="center"/>
    </xf>
    <xf numFmtId="0" fontId="7" fillId="7" borderId="27" xfId="0" applyFont="1" applyFill="1" applyBorder="1" applyAlignment="1">
      <alignment horizontal="center" vertical="center"/>
    </xf>
    <xf numFmtId="21" fontId="12" fillId="9" borderId="27" xfId="0" applyNumberFormat="1" applyFont="1" applyFill="1" applyBorder="1" applyAlignment="1">
      <alignment horizontal="center" vertical="center"/>
    </xf>
    <xf numFmtId="0" fontId="12" fillId="9" borderId="27" xfId="0" applyFont="1" applyFill="1" applyBorder="1" applyAlignment="1">
      <alignment horizontal="center" vertical="center"/>
    </xf>
    <xf numFmtId="0" fontId="8" fillId="7" borderId="11" xfId="0" applyFont="1" applyFill="1" applyBorder="1" applyAlignment="1" applyProtection="1">
      <alignment horizontal="center" vertical="center"/>
      <protection locked="0"/>
    </xf>
    <xf numFmtId="0" fontId="8" fillId="7" borderId="12" xfId="0" applyFont="1" applyFill="1" applyBorder="1" applyAlignment="1" applyProtection="1">
      <alignment horizontal="center" vertical="center"/>
      <protection locked="0"/>
    </xf>
    <xf numFmtId="0" fontId="8" fillId="7" borderId="13" xfId="0" applyFont="1" applyFill="1" applyBorder="1" applyAlignment="1" applyProtection="1">
      <alignment horizontal="center" vertical="center"/>
      <protection locked="0"/>
    </xf>
    <xf numFmtId="0" fontId="8" fillId="7" borderId="22" xfId="0" applyFont="1" applyFill="1" applyBorder="1" applyAlignment="1" applyProtection="1">
      <alignment horizontal="center" vertical="center"/>
      <protection locked="0"/>
    </xf>
    <xf numFmtId="0" fontId="0" fillId="5" borderId="29" xfId="0" applyFill="1" applyBorder="1" applyAlignment="1">
      <alignment horizontal="center" vertical="center"/>
    </xf>
    <xf numFmtId="0" fontId="0" fillId="5" borderId="0" xfId="0" applyFill="1" applyAlignment="1">
      <alignment horizontal="center" vertical="center"/>
    </xf>
    <xf numFmtId="0" fontId="0" fillId="5" borderId="17" xfId="0" applyFill="1" applyBorder="1" applyAlignment="1">
      <alignment horizontal="center" vertical="center"/>
    </xf>
    <xf numFmtId="0" fontId="5" fillId="6" borderId="24" xfId="0" applyFont="1" applyFill="1" applyBorder="1" applyAlignment="1">
      <alignment horizontal="center" vertical="center" textRotation="255"/>
    </xf>
    <xf numFmtId="0" fontId="5" fillId="6" borderId="25" xfId="0" applyFont="1" applyFill="1" applyBorder="1" applyAlignment="1">
      <alignment horizontal="center" vertical="center" textRotation="255"/>
    </xf>
    <xf numFmtId="0" fontId="5" fillId="6" borderId="26" xfId="0" applyFont="1" applyFill="1" applyBorder="1" applyAlignment="1">
      <alignment horizontal="center" vertical="center" textRotation="255"/>
    </xf>
    <xf numFmtId="0" fontId="15" fillId="3" borderId="7" xfId="0" applyFont="1" applyFill="1" applyBorder="1" applyAlignment="1">
      <alignment horizontal="center" vertical="center"/>
    </xf>
    <xf numFmtId="0" fontId="15" fillId="3" borderId="6" xfId="0" applyFont="1" applyFill="1" applyBorder="1" applyAlignment="1">
      <alignment horizontal="center" vertical="center"/>
    </xf>
    <xf numFmtId="0" fontId="15" fillId="3" borderId="8"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19" xfId="0" applyFont="1" applyFill="1" applyBorder="1" applyAlignment="1">
      <alignment horizontal="center" vertical="center"/>
    </xf>
    <xf numFmtId="0" fontId="15" fillId="3" borderId="14" xfId="0" applyFont="1" applyFill="1" applyBorder="1" applyAlignment="1">
      <alignment horizontal="center" vertical="center"/>
    </xf>
    <xf numFmtId="10" fontId="15" fillId="3" borderId="19" xfId="1" applyNumberFormat="1" applyFont="1" applyFill="1" applyBorder="1" applyAlignment="1">
      <alignment horizontal="center" vertical="center"/>
    </xf>
    <xf numFmtId="10" fontId="15" fillId="3" borderId="14" xfId="1" applyNumberFormat="1" applyFont="1" applyFill="1" applyBorder="1" applyAlignment="1">
      <alignment horizontal="center" vertical="center"/>
    </xf>
    <xf numFmtId="0" fontId="6" fillId="7" borderId="9" xfId="0" applyFont="1" applyFill="1" applyBorder="1" applyAlignment="1" applyProtection="1">
      <alignment horizontal="center" vertical="center" wrapText="1"/>
      <protection hidden="1"/>
    </xf>
    <xf numFmtId="0" fontId="6" fillId="7" borderId="20" xfId="0" applyFont="1" applyFill="1" applyBorder="1" applyAlignment="1" applyProtection="1">
      <alignment horizontal="center" vertical="center" wrapText="1"/>
      <protection hidden="1"/>
    </xf>
    <xf numFmtId="0" fontId="2" fillId="7" borderId="8" xfId="0" applyFont="1" applyFill="1" applyBorder="1" applyAlignment="1">
      <alignment horizontal="center" vertical="center"/>
    </xf>
    <xf numFmtId="0" fontId="2" fillId="7" borderId="19" xfId="0" applyFont="1" applyFill="1" applyBorder="1" applyAlignment="1">
      <alignment horizontal="center" vertical="center"/>
    </xf>
    <xf numFmtId="14" fontId="3" fillId="3" borderId="2" xfId="0" applyNumberFormat="1" applyFont="1" applyFill="1" applyBorder="1" applyAlignment="1">
      <alignment horizontal="center" vertical="center"/>
    </xf>
    <xf numFmtId="14" fontId="3" fillId="3" borderId="14" xfId="0" applyNumberFormat="1" applyFont="1" applyFill="1" applyBorder="1" applyAlignment="1">
      <alignment horizontal="center" vertical="center"/>
    </xf>
    <xf numFmtId="0" fontId="0" fillId="5" borderId="28" xfId="0" applyFill="1" applyBorder="1" applyAlignment="1">
      <alignment horizontal="center" vertical="center"/>
    </xf>
    <xf numFmtId="0" fontId="0" fillId="5" borderId="3" xfId="0" applyFill="1" applyBorder="1" applyAlignment="1">
      <alignment horizontal="center" vertical="center"/>
    </xf>
    <xf numFmtId="0" fontId="0" fillId="5" borderId="18" xfId="0" applyFill="1" applyBorder="1" applyAlignment="1">
      <alignment horizontal="center" vertical="center"/>
    </xf>
    <xf numFmtId="0" fontId="22" fillId="8" borderId="0" xfId="0" quotePrefix="1" applyFont="1" applyFill="1" applyAlignment="1">
      <alignment horizontal="center" vertical="center"/>
    </xf>
    <xf numFmtId="0" fontId="22" fillId="8" borderId="0" xfId="0" applyFont="1" applyFill="1" applyAlignment="1">
      <alignment horizontal="center" vertical="center"/>
    </xf>
    <xf numFmtId="0" fontId="13" fillId="3" borderId="2" xfId="0" applyFont="1" applyFill="1" applyBorder="1" applyAlignment="1">
      <alignment horizontal="center" vertical="center"/>
    </xf>
    <xf numFmtId="0" fontId="14" fillId="3" borderId="3" xfId="0" quotePrefix="1" applyFont="1" applyFill="1" applyBorder="1" applyAlignment="1">
      <alignment horizontal="center" vertical="center"/>
    </xf>
    <xf numFmtId="0" fontId="14" fillId="3" borderId="3" xfId="0" applyFont="1" applyFill="1" applyBorder="1" applyAlignment="1">
      <alignment horizontal="center" vertical="center"/>
    </xf>
    <xf numFmtId="0" fontId="11" fillId="3" borderId="4" xfId="0" quotePrefix="1" applyFont="1" applyFill="1" applyBorder="1" applyAlignment="1">
      <alignment horizontal="center" vertical="center"/>
    </xf>
    <xf numFmtId="0" fontId="11" fillId="3" borderId="5" xfId="0" quotePrefix="1" applyFont="1" applyFill="1" applyBorder="1" applyAlignment="1">
      <alignment horizontal="center" vertical="center"/>
    </xf>
    <xf numFmtId="0" fontId="11" fillId="3" borderId="6" xfId="0" quotePrefix="1" applyFont="1" applyFill="1" applyBorder="1" applyAlignment="1">
      <alignment horizontal="center" vertical="center"/>
    </xf>
    <xf numFmtId="165" fontId="3" fillId="3" borderId="2" xfId="0" quotePrefix="1" applyNumberFormat="1" applyFont="1" applyFill="1" applyBorder="1" applyAlignment="1">
      <alignment horizontal="center" vertical="center" wrapText="1"/>
    </xf>
    <xf numFmtId="14" fontId="25" fillId="3" borderId="0" xfId="0" applyNumberFormat="1" applyFont="1" applyFill="1" applyAlignment="1">
      <alignment horizontal="center"/>
    </xf>
    <xf numFmtId="0" fontId="25" fillId="3" borderId="0" xfId="0" applyFont="1" applyFill="1" applyAlignment="1">
      <alignment horizontal="center"/>
    </xf>
    <xf numFmtId="0" fontId="25" fillId="3" borderId="3" xfId="0" applyFont="1" applyFill="1" applyBorder="1" applyAlignment="1">
      <alignment horizontal="center"/>
    </xf>
    <xf numFmtId="0" fontId="32" fillId="3" borderId="0" xfId="0" applyFont="1" applyFill="1" applyAlignment="1">
      <alignment horizontal="center" vertical="center"/>
    </xf>
    <xf numFmtId="0" fontId="16" fillId="8" borderId="0" xfId="0" quotePrefix="1" applyFont="1" applyFill="1" applyAlignment="1" applyProtection="1">
      <alignment horizontal="center" vertical="center"/>
      <protection hidden="1"/>
    </xf>
    <xf numFmtId="0" fontId="16" fillId="8" borderId="0" xfId="0" applyFont="1" applyFill="1" applyAlignment="1" applyProtection="1">
      <alignment horizontal="center" vertical="center"/>
      <protection hidden="1"/>
    </xf>
  </cellXfs>
  <cellStyles count="2">
    <cellStyle name="Normal" xfId="0" builtinId="0"/>
    <cellStyle name="Porcentagem" xfId="1" builtinId="5"/>
  </cellStyles>
  <dxfs count="40">
    <dxf>
      <fill>
        <patternFill>
          <bgColor rgb="FFFFFFCC"/>
        </patternFill>
      </fill>
    </dxf>
    <dxf>
      <fill>
        <patternFill>
          <bgColor rgb="FFFFFFCC"/>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CC"/>
        </patternFill>
      </fill>
    </dxf>
    <dxf>
      <fill>
        <patternFill>
          <bgColor rgb="FFFFFFCC"/>
        </patternFill>
      </fill>
    </dxf>
    <dxf>
      <fill>
        <patternFill>
          <bgColor rgb="FF92D05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
      <fill>
        <patternFill>
          <bgColor rgb="FF00FFCC"/>
        </patternFill>
      </fill>
    </dxf>
    <dxf>
      <font>
        <color theme="0"/>
      </font>
      <fill>
        <patternFill>
          <bgColor rgb="FFFF0000"/>
        </patternFill>
      </fill>
    </dxf>
  </dxfs>
  <tableStyles count="0" defaultTableStyle="TableStyleMedium2" defaultPivotStyle="PivotStyleLight16"/>
  <colors>
    <mruColors>
      <color rgb="FF000110"/>
      <color rgb="FF0001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solidFill>
                <a:latin typeface="+mn-lt"/>
                <a:ea typeface="+mn-ea"/>
                <a:cs typeface="+mn-cs"/>
              </a:defRPr>
            </a:pPr>
            <a:r>
              <a:rPr lang="pt-BR">
                <a:solidFill>
                  <a:schemeClr val="tx1"/>
                </a:solidFill>
              </a:rPr>
              <a:t>TEMPO DE ESTUDO</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solidFill>
              <a:latin typeface="+mn-lt"/>
              <a:ea typeface="+mn-ea"/>
              <a:cs typeface="+mn-cs"/>
            </a:defRPr>
          </a:pPr>
          <a:endParaRPr lang="pt-BR"/>
        </a:p>
      </c:txPr>
    </c:title>
    <c:autoTitleDeleted val="0"/>
    <c:plotArea>
      <c:layout>
        <c:manualLayout>
          <c:layoutTarget val="inner"/>
          <c:xMode val="edge"/>
          <c:yMode val="edge"/>
          <c:x val="1.0937926320750297E-2"/>
          <c:y val="0.21548288462699705"/>
          <c:w val="0.95187312418869874"/>
          <c:h val="0.58771182641441766"/>
        </c:manualLayout>
      </c:layout>
      <c:barChart>
        <c:barDir val="col"/>
        <c:grouping val="clustered"/>
        <c:varyColors val="0"/>
        <c:ser>
          <c:idx val="0"/>
          <c:order val="0"/>
          <c:tx>
            <c:strRef>
              <c:f>Base!$G$8</c:f>
              <c:strCache>
                <c:ptCount val="1"/>
                <c:pt idx="0">
                  <c:v>PORTUGUÊS</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Base!$H$8</c:f>
              <c:numCache>
                <c:formatCode>[$-F400]h:mm:ss\ AM/PM</c:formatCode>
                <c:ptCount val="1"/>
                <c:pt idx="0">
                  <c:v>0</c:v>
                </c:pt>
              </c:numCache>
            </c:numRef>
          </c:val>
          <c:extLst>
            <c:ext xmlns:c16="http://schemas.microsoft.com/office/drawing/2014/chart" uri="{C3380CC4-5D6E-409C-BE32-E72D297353CC}">
              <c16:uniqueId val="{00000000-E4D4-4737-B193-472662B28ACF}"/>
            </c:ext>
          </c:extLst>
        </c:ser>
        <c:ser>
          <c:idx val="1"/>
          <c:order val="1"/>
          <c:tx>
            <c:strRef>
              <c:f>Base!$G$9</c:f>
              <c:strCache>
                <c:ptCount val="1"/>
                <c:pt idx="0">
                  <c:v>Hist. Asp Geoecon</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Base!$H$9</c:f>
              <c:numCache>
                <c:formatCode>[$-F400]h:mm:ss\ AM/PM</c:formatCode>
                <c:ptCount val="1"/>
                <c:pt idx="0">
                  <c:v>0</c:v>
                </c:pt>
              </c:numCache>
            </c:numRef>
          </c:val>
          <c:extLst>
            <c:ext xmlns:c16="http://schemas.microsoft.com/office/drawing/2014/chart" uri="{C3380CC4-5D6E-409C-BE32-E72D297353CC}">
              <c16:uniqueId val="{00000001-E4D4-4737-B193-472662B28ACF}"/>
            </c:ext>
          </c:extLst>
        </c:ser>
        <c:ser>
          <c:idx val="2"/>
          <c:order val="2"/>
          <c:tx>
            <c:strRef>
              <c:f>Base!$G$10</c:f>
              <c:strCache>
                <c:ptCount val="1"/>
                <c:pt idx="0">
                  <c:v>Est.do Servidor</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Base!$H$10</c:f>
              <c:numCache>
                <c:formatCode>[$-F400]h:mm:ss\ AM/PM</c:formatCode>
                <c:ptCount val="1"/>
                <c:pt idx="0">
                  <c:v>0</c:v>
                </c:pt>
              </c:numCache>
            </c:numRef>
          </c:val>
          <c:extLst>
            <c:ext xmlns:c16="http://schemas.microsoft.com/office/drawing/2014/chart" uri="{C3380CC4-5D6E-409C-BE32-E72D297353CC}">
              <c16:uniqueId val="{00000002-E4D4-4737-B193-472662B28ACF}"/>
            </c:ext>
          </c:extLst>
        </c:ser>
        <c:ser>
          <c:idx val="3"/>
          <c:order val="3"/>
          <c:tx>
            <c:strRef>
              <c:f>Base!$G$11</c:f>
              <c:strCache>
                <c:ptCount val="1"/>
                <c:pt idx="0">
                  <c:v>LEI EX. PENAL</c:v>
                </c:pt>
              </c:strCache>
            </c:strRef>
          </c:tx>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Base!$H$11</c:f>
              <c:numCache>
                <c:formatCode>[$-F400]h:mm:ss\ AM/PM</c:formatCode>
                <c:ptCount val="1"/>
                <c:pt idx="0">
                  <c:v>0</c:v>
                </c:pt>
              </c:numCache>
            </c:numRef>
          </c:val>
          <c:extLst>
            <c:ext xmlns:c16="http://schemas.microsoft.com/office/drawing/2014/chart" uri="{C3380CC4-5D6E-409C-BE32-E72D297353CC}">
              <c16:uniqueId val="{00000003-E4D4-4737-B193-472662B28ACF}"/>
            </c:ext>
          </c:extLst>
        </c:ser>
        <c:ser>
          <c:idx val="4"/>
          <c:order val="4"/>
          <c:tx>
            <c:strRef>
              <c:f>Base!$G$12</c:f>
              <c:strCache>
                <c:ptCount val="1"/>
                <c:pt idx="0">
                  <c:v>DIREITOS HUMANOS</c:v>
                </c:pt>
              </c:strCache>
            </c:strRef>
          </c:tx>
          <c:spPr>
            <a:gradFill flip="none" rotWithShape="1">
              <a:gsLst>
                <a:gs pos="0">
                  <a:schemeClr val="accent5"/>
                </a:gs>
                <a:gs pos="75000">
                  <a:schemeClr val="accent5">
                    <a:lumMod val="60000"/>
                    <a:lumOff val="40000"/>
                  </a:schemeClr>
                </a:gs>
                <a:gs pos="51000">
                  <a:schemeClr val="accent5">
                    <a:alpha val="75000"/>
                  </a:schemeClr>
                </a:gs>
                <a:gs pos="100000">
                  <a:schemeClr val="accent5">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Base!$H$12</c:f>
              <c:numCache>
                <c:formatCode>[$-F400]h:mm:ss\ AM/PM</c:formatCode>
                <c:ptCount val="1"/>
                <c:pt idx="0">
                  <c:v>0</c:v>
                </c:pt>
              </c:numCache>
            </c:numRef>
          </c:val>
          <c:extLst>
            <c:ext xmlns:c16="http://schemas.microsoft.com/office/drawing/2014/chart" uri="{C3380CC4-5D6E-409C-BE32-E72D297353CC}">
              <c16:uniqueId val="{00000004-E4D4-4737-B193-472662B28ACF}"/>
            </c:ext>
          </c:extLst>
        </c:ser>
        <c:ser>
          <c:idx val="5"/>
          <c:order val="5"/>
          <c:tx>
            <c:strRef>
              <c:f>Base!$G$13</c:f>
              <c:strCache>
                <c:ptCount val="1"/>
                <c:pt idx="0">
                  <c:v>DIREITO ADMINISTRATIVO</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Base!$H$13</c:f>
              <c:numCache>
                <c:formatCode>[$-F400]h:mm:ss\ AM/PM</c:formatCode>
                <c:ptCount val="1"/>
                <c:pt idx="0">
                  <c:v>0</c:v>
                </c:pt>
              </c:numCache>
            </c:numRef>
          </c:val>
          <c:extLst>
            <c:ext xmlns:c16="http://schemas.microsoft.com/office/drawing/2014/chart" uri="{C3380CC4-5D6E-409C-BE32-E72D297353CC}">
              <c16:uniqueId val="{00000000-616B-461A-8EDF-3F842AF557A7}"/>
            </c:ext>
          </c:extLst>
        </c:ser>
        <c:ser>
          <c:idx val="6"/>
          <c:order val="6"/>
          <c:tx>
            <c:strRef>
              <c:f>Base!$G$14</c:f>
              <c:strCache>
                <c:ptCount val="1"/>
                <c:pt idx="0">
                  <c:v>PROCESSO PENAL</c:v>
                </c:pt>
              </c:strCache>
            </c:strRef>
          </c:tx>
          <c:spPr>
            <a:gradFill flip="none" rotWithShape="1">
              <a:gsLst>
                <a:gs pos="0">
                  <a:schemeClr val="accent1">
                    <a:lumMod val="60000"/>
                  </a:schemeClr>
                </a:gs>
                <a:gs pos="75000">
                  <a:schemeClr val="accent1">
                    <a:lumMod val="60000"/>
                    <a:lumMod val="60000"/>
                    <a:lumOff val="40000"/>
                  </a:schemeClr>
                </a:gs>
                <a:gs pos="51000">
                  <a:schemeClr val="accent1">
                    <a:lumMod val="60000"/>
                    <a:alpha val="75000"/>
                  </a:schemeClr>
                </a:gs>
                <a:gs pos="100000">
                  <a:schemeClr val="accent1">
                    <a:lumMod val="6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Base!$H$14</c:f>
              <c:numCache>
                <c:formatCode>[$-F400]h:mm:ss\ AM/PM</c:formatCode>
                <c:ptCount val="1"/>
                <c:pt idx="0">
                  <c:v>0</c:v>
                </c:pt>
              </c:numCache>
            </c:numRef>
          </c:val>
          <c:extLst>
            <c:ext xmlns:c16="http://schemas.microsoft.com/office/drawing/2014/chart" uri="{C3380CC4-5D6E-409C-BE32-E72D297353CC}">
              <c16:uniqueId val="{00000001-616B-461A-8EDF-3F842AF557A7}"/>
            </c:ext>
          </c:extLst>
        </c:ser>
        <c:dLbls>
          <c:dLblPos val="outEnd"/>
          <c:showLegendKey val="0"/>
          <c:showVal val="1"/>
          <c:showCatName val="0"/>
          <c:showSerName val="0"/>
          <c:showPercent val="0"/>
          <c:showBubbleSize val="0"/>
        </c:dLbls>
        <c:gapWidth val="355"/>
        <c:overlap val="-70"/>
        <c:axId val="380533728"/>
        <c:axId val="380534904"/>
      </c:barChart>
      <c:catAx>
        <c:axId val="380533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0534904"/>
        <c:crosses val="autoZero"/>
        <c:auto val="1"/>
        <c:lblAlgn val="ctr"/>
        <c:lblOffset val="100"/>
        <c:noMultiLvlLbl val="0"/>
      </c:catAx>
      <c:valAx>
        <c:axId val="380534904"/>
        <c:scaling>
          <c:orientation val="minMax"/>
        </c:scaling>
        <c:delete val="1"/>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F400]h:mm:ss\ AM/PM" sourceLinked="1"/>
        <c:majorTickMark val="none"/>
        <c:minorTickMark val="none"/>
        <c:tickLblPos val="nextTo"/>
        <c:crossAx val="380533728"/>
        <c:crosses val="autoZero"/>
        <c:crossBetween val="between"/>
      </c:valAx>
      <c:spPr>
        <a:noFill/>
        <a:ln>
          <a:noFill/>
        </a:ln>
        <a:effectLst/>
      </c:spPr>
    </c:plotArea>
    <c:legend>
      <c:legendPos val="b"/>
      <c:layout>
        <c:manualLayout>
          <c:xMode val="edge"/>
          <c:yMode val="edge"/>
          <c:x val="0.10944740061197528"/>
          <c:y val="0.81767268201617926"/>
          <c:w val="0.89055259938802478"/>
          <c:h val="0.182327317983820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solidFill>
                <a:latin typeface="+mn-lt"/>
                <a:ea typeface="+mn-ea"/>
                <a:cs typeface="+mn-cs"/>
              </a:defRPr>
            </a:pPr>
            <a:r>
              <a:rPr lang="pt-BR">
                <a:solidFill>
                  <a:schemeClr val="tx1"/>
                </a:solidFill>
              </a:rPr>
              <a:t>qUESTÕES</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solidFill>
              <a:latin typeface="+mn-lt"/>
              <a:ea typeface="+mn-ea"/>
              <a:cs typeface="+mn-cs"/>
            </a:defRPr>
          </a:pPr>
          <a:endParaRPr lang="pt-BR"/>
        </a:p>
      </c:txPr>
    </c:title>
    <c:autoTitleDeleted val="0"/>
    <c:plotArea>
      <c:layout/>
      <c:barChart>
        <c:barDir val="col"/>
        <c:grouping val="clustered"/>
        <c:varyColors val="0"/>
        <c:ser>
          <c:idx val="0"/>
          <c:order val="0"/>
          <c:tx>
            <c:strRef>
              <c:f>Base!$I$7</c:f>
              <c:strCache>
                <c:ptCount val="1"/>
                <c:pt idx="0">
                  <c:v>Q realizadas</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Base!$G$8:$H$21</c15:sqref>
                  </c15:fullRef>
                  <c15:levelRef>
                    <c15:sqref>Base!$G$8:$G$21</c15:sqref>
                  </c15:levelRef>
                </c:ext>
              </c:extLst>
              <c:f>Base!$G$8:$G$14</c:f>
              <c:strCache>
                <c:ptCount val="7"/>
                <c:pt idx="0">
                  <c:v>PORTUGUÊS</c:v>
                </c:pt>
                <c:pt idx="1">
                  <c:v>Hist. Asp Geoecon</c:v>
                </c:pt>
                <c:pt idx="2">
                  <c:v>Est.do Servidor</c:v>
                </c:pt>
                <c:pt idx="3">
                  <c:v>LEI EX. PENAL</c:v>
                </c:pt>
                <c:pt idx="4">
                  <c:v>DIREITOS HUMANOS</c:v>
                </c:pt>
                <c:pt idx="5">
                  <c:v>DIREITO ADMINISTRATIVO</c:v>
                </c:pt>
                <c:pt idx="6">
                  <c:v>PROCESSO PENAL</c:v>
                </c:pt>
              </c:strCache>
            </c:strRef>
          </c:cat>
          <c:val>
            <c:numRef>
              <c:extLst>
                <c:ext xmlns:c15="http://schemas.microsoft.com/office/drawing/2012/chart" uri="{02D57815-91ED-43cb-92C2-25804820EDAC}">
                  <c15:fullRef>
                    <c15:sqref>Base!$I$8:$I$21</c15:sqref>
                  </c15:fullRef>
                </c:ext>
              </c:extLst>
              <c:f>Base!$I$8:$I$14</c:f>
              <c:numCache>
                <c:formatCode>General</c:formatCode>
                <c:ptCount val="7"/>
                <c:pt idx="0">
                  <c:v>0</c:v>
                </c:pt>
                <c:pt idx="1">
                  <c:v>0</c:v>
                </c:pt>
                <c:pt idx="2">
                  <c:v>104</c:v>
                </c:pt>
                <c:pt idx="3">
                  <c:v>20</c:v>
                </c:pt>
                <c:pt idx="4">
                  <c:v>10</c:v>
                </c:pt>
                <c:pt idx="5">
                  <c:v>0</c:v>
                </c:pt>
                <c:pt idx="6">
                  <c:v>0</c:v>
                </c:pt>
              </c:numCache>
            </c:numRef>
          </c:val>
          <c:extLst>
            <c:ext xmlns:c16="http://schemas.microsoft.com/office/drawing/2014/chart" uri="{C3380CC4-5D6E-409C-BE32-E72D297353CC}">
              <c16:uniqueId val="{00000000-C0AA-436F-A6CB-B334A6F4FFCC}"/>
            </c:ext>
          </c:extLst>
        </c:ser>
        <c:ser>
          <c:idx val="1"/>
          <c:order val="1"/>
          <c:tx>
            <c:strRef>
              <c:f>Base!$J$7</c:f>
              <c:strCache>
                <c:ptCount val="1"/>
                <c:pt idx="0">
                  <c:v>Q Corretas</c:v>
                </c:pt>
              </c:strCache>
            </c:strRef>
          </c:tx>
          <c:spPr>
            <a:gradFill flip="none" rotWithShape="1">
              <a:gsLst>
                <a:gs pos="0">
                  <a:schemeClr val="accent2"/>
                </a:gs>
                <a:gs pos="75000">
                  <a:schemeClr val="accent2">
                    <a:lumMod val="60000"/>
                    <a:lumOff val="40000"/>
                  </a:schemeClr>
                </a:gs>
                <a:gs pos="51000">
                  <a:schemeClr val="accent2">
                    <a:alpha val="75000"/>
                  </a:schemeClr>
                </a:gs>
                <a:gs pos="100000">
                  <a:schemeClr val="accent2">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Base!$G$8:$H$21</c15:sqref>
                  </c15:fullRef>
                  <c15:levelRef>
                    <c15:sqref>Base!$G$8:$G$21</c15:sqref>
                  </c15:levelRef>
                </c:ext>
              </c:extLst>
              <c:f>Base!$G$8:$G$14</c:f>
              <c:strCache>
                <c:ptCount val="7"/>
                <c:pt idx="0">
                  <c:v>PORTUGUÊS</c:v>
                </c:pt>
                <c:pt idx="1">
                  <c:v>Hist. Asp Geoecon</c:v>
                </c:pt>
                <c:pt idx="2">
                  <c:v>Est.do Servidor</c:v>
                </c:pt>
                <c:pt idx="3">
                  <c:v>LEI EX. PENAL</c:v>
                </c:pt>
                <c:pt idx="4">
                  <c:v>DIREITOS HUMANOS</c:v>
                </c:pt>
                <c:pt idx="5">
                  <c:v>DIREITO ADMINISTRATIVO</c:v>
                </c:pt>
                <c:pt idx="6">
                  <c:v>PROCESSO PENAL</c:v>
                </c:pt>
              </c:strCache>
            </c:strRef>
          </c:cat>
          <c:val>
            <c:numRef>
              <c:extLst>
                <c:ext xmlns:c15="http://schemas.microsoft.com/office/drawing/2012/chart" uri="{02D57815-91ED-43cb-92C2-25804820EDAC}">
                  <c15:fullRef>
                    <c15:sqref>Base!$J$8:$J$21</c15:sqref>
                  </c15:fullRef>
                </c:ext>
              </c:extLst>
              <c:f>Base!$J$8:$J$14</c:f>
              <c:numCache>
                <c:formatCode>General</c:formatCode>
                <c:ptCount val="7"/>
                <c:pt idx="0">
                  <c:v>0</c:v>
                </c:pt>
                <c:pt idx="1">
                  <c:v>0</c:v>
                </c:pt>
                <c:pt idx="2">
                  <c:v>77</c:v>
                </c:pt>
                <c:pt idx="3">
                  <c:v>19</c:v>
                </c:pt>
                <c:pt idx="4">
                  <c:v>10</c:v>
                </c:pt>
              </c:numCache>
            </c:numRef>
          </c:val>
          <c:extLst>
            <c:ext xmlns:c16="http://schemas.microsoft.com/office/drawing/2014/chart" uri="{C3380CC4-5D6E-409C-BE32-E72D297353CC}">
              <c16:uniqueId val="{00000001-C0AA-436F-A6CB-B334A6F4FFCC}"/>
            </c:ext>
          </c:extLst>
        </c:ser>
        <c:ser>
          <c:idx val="2"/>
          <c:order val="2"/>
          <c:tx>
            <c:strRef>
              <c:f>Base!$K$7</c:f>
              <c:strCache>
                <c:ptCount val="1"/>
                <c:pt idx="0">
                  <c:v>Q Erradas</c:v>
                </c:pt>
              </c:strCache>
            </c:strRef>
          </c:tx>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Base!$G$8:$H$21</c15:sqref>
                  </c15:fullRef>
                  <c15:levelRef>
                    <c15:sqref>Base!$G$8:$G$21</c15:sqref>
                  </c15:levelRef>
                </c:ext>
              </c:extLst>
              <c:f>Base!$G$8:$G$14</c:f>
              <c:strCache>
                <c:ptCount val="7"/>
                <c:pt idx="0">
                  <c:v>PORTUGUÊS</c:v>
                </c:pt>
                <c:pt idx="1">
                  <c:v>Hist. Asp Geoecon</c:v>
                </c:pt>
                <c:pt idx="2">
                  <c:v>Est.do Servidor</c:v>
                </c:pt>
                <c:pt idx="3">
                  <c:v>LEI EX. PENAL</c:v>
                </c:pt>
                <c:pt idx="4">
                  <c:v>DIREITOS HUMANOS</c:v>
                </c:pt>
                <c:pt idx="5">
                  <c:v>DIREITO ADMINISTRATIVO</c:v>
                </c:pt>
                <c:pt idx="6">
                  <c:v>PROCESSO PENAL</c:v>
                </c:pt>
              </c:strCache>
            </c:strRef>
          </c:cat>
          <c:val>
            <c:numRef>
              <c:extLst>
                <c:ext xmlns:c15="http://schemas.microsoft.com/office/drawing/2012/chart" uri="{02D57815-91ED-43cb-92C2-25804820EDAC}">
                  <c15:fullRef>
                    <c15:sqref>Base!$K$8:$K$21</c15:sqref>
                  </c15:fullRef>
                </c:ext>
              </c:extLst>
              <c:f>Base!$K$8:$K$14</c:f>
              <c:numCache>
                <c:formatCode>General</c:formatCode>
                <c:ptCount val="7"/>
                <c:pt idx="0">
                  <c:v>0</c:v>
                </c:pt>
                <c:pt idx="1">
                  <c:v>0</c:v>
                </c:pt>
                <c:pt idx="2">
                  <c:v>27</c:v>
                </c:pt>
                <c:pt idx="3">
                  <c:v>1</c:v>
                </c:pt>
                <c:pt idx="4">
                  <c:v>0</c:v>
                </c:pt>
              </c:numCache>
            </c:numRef>
          </c:val>
          <c:extLst>
            <c:ext xmlns:c16="http://schemas.microsoft.com/office/drawing/2014/chart" uri="{C3380CC4-5D6E-409C-BE32-E72D297353CC}">
              <c16:uniqueId val="{00000002-C0AA-436F-A6CB-B334A6F4FFCC}"/>
            </c:ext>
          </c:extLst>
        </c:ser>
        <c:ser>
          <c:idx val="3"/>
          <c:order val="3"/>
          <c:tx>
            <c:strRef>
              <c:f>Base!$L$7</c:f>
              <c:strCache>
                <c:ptCount val="1"/>
                <c:pt idx="0">
                  <c:v>Acertividade %</c:v>
                </c:pt>
              </c:strCache>
            </c:strRef>
          </c:tx>
          <c:spPr>
            <a:gradFill flip="none" rotWithShape="1">
              <a:gsLst>
                <a:gs pos="0">
                  <a:schemeClr val="accent4"/>
                </a:gs>
                <a:gs pos="75000">
                  <a:schemeClr val="accent4">
                    <a:lumMod val="60000"/>
                    <a:lumOff val="40000"/>
                  </a:schemeClr>
                </a:gs>
                <a:gs pos="51000">
                  <a:schemeClr val="accent4">
                    <a:alpha val="75000"/>
                  </a:schemeClr>
                </a:gs>
                <a:gs pos="100000">
                  <a:schemeClr val="accent4">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Base!$G$8:$H$21</c15:sqref>
                  </c15:fullRef>
                  <c15:levelRef>
                    <c15:sqref>Base!$G$8:$G$21</c15:sqref>
                  </c15:levelRef>
                </c:ext>
              </c:extLst>
              <c:f>Base!$G$8:$G$14</c:f>
              <c:strCache>
                <c:ptCount val="7"/>
                <c:pt idx="0">
                  <c:v>PORTUGUÊS</c:v>
                </c:pt>
                <c:pt idx="1">
                  <c:v>Hist. Asp Geoecon</c:v>
                </c:pt>
                <c:pt idx="2">
                  <c:v>Est.do Servidor</c:v>
                </c:pt>
                <c:pt idx="3">
                  <c:v>LEI EX. PENAL</c:v>
                </c:pt>
                <c:pt idx="4">
                  <c:v>DIREITOS HUMANOS</c:v>
                </c:pt>
                <c:pt idx="5">
                  <c:v>DIREITO ADMINISTRATIVO</c:v>
                </c:pt>
                <c:pt idx="6">
                  <c:v>PROCESSO PENAL</c:v>
                </c:pt>
              </c:strCache>
            </c:strRef>
          </c:cat>
          <c:val>
            <c:numRef>
              <c:extLst>
                <c:ext xmlns:c15="http://schemas.microsoft.com/office/drawing/2012/chart" uri="{02D57815-91ED-43cb-92C2-25804820EDAC}">
                  <c15:fullRef>
                    <c15:sqref>Base!$L$8:$L$21</c15:sqref>
                  </c15:fullRef>
                </c:ext>
              </c:extLst>
              <c:f>Base!$L$8:$L$14</c:f>
              <c:numCache>
                <c:formatCode>0.0%</c:formatCode>
                <c:ptCount val="7"/>
                <c:pt idx="0">
                  <c:v>0</c:v>
                </c:pt>
                <c:pt idx="1">
                  <c:v>0</c:v>
                </c:pt>
                <c:pt idx="2">
                  <c:v>0.74038461538461542</c:v>
                </c:pt>
                <c:pt idx="3">
                  <c:v>0.95</c:v>
                </c:pt>
                <c:pt idx="4">
                  <c:v>1</c:v>
                </c:pt>
              </c:numCache>
            </c:numRef>
          </c:val>
          <c:extLst>
            <c:ext xmlns:c16="http://schemas.microsoft.com/office/drawing/2014/chart" uri="{C3380CC4-5D6E-409C-BE32-E72D297353CC}">
              <c16:uniqueId val="{00000003-C0AA-436F-A6CB-B334A6F4FFCC}"/>
            </c:ext>
          </c:extLst>
        </c:ser>
        <c:dLbls>
          <c:dLblPos val="outEnd"/>
          <c:showLegendKey val="0"/>
          <c:showVal val="1"/>
          <c:showCatName val="0"/>
          <c:showSerName val="0"/>
          <c:showPercent val="0"/>
          <c:showBubbleSize val="0"/>
        </c:dLbls>
        <c:gapWidth val="355"/>
        <c:overlap val="-70"/>
        <c:axId val="380530984"/>
        <c:axId val="380536864"/>
      </c:barChart>
      <c:catAx>
        <c:axId val="380530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crossAx val="380536864"/>
        <c:crosses val="autoZero"/>
        <c:auto val="1"/>
        <c:lblAlgn val="ctr"/>
        <c:lblOffset val="100"/>
        <c:noMultiLvlLbl val="0"/>
      </c:catAx>
      <c:valAx>
        <c:axId val="380536864"/>
        <c:scaling>
          <c:orientation val="minMax"/>
        </c:scaling>
        <c:delete val="1"/>
        <c:axPos val="l"/>
        <c:numFmt formatCode="General" sourceLinked="1"/>
        <c:majorTickMark val="none"/>
        <c:minorTickMark val="none"/>
        <c:tickLblPos val="nextTo"/>
        <c:crossAx val="38053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8786357890317688E-4"/>
          <c:y val="7.5208811353278143E-2"/>
          <c:w val="0.53486161936578291"/>
          <c:h val="0.80467091295116777"/>
        </c:manualLayout>
      </c:layout>
      <c:bar3DChart>
        <c:barDir val="col"/>
        <c:grouping val="standard"/>
        <c:varyColors val="0"/>
        <c:ser>
          <c:idx val="0"/>
          <c:order val="0"/>
          <c:tx>
            <c:strRef>
              <c:f>Base!$G$22</c:f>
              <c:strCache>
                <c:ptCount val="1"/>
                <c:pt idx="0">
                  <c:v>TEMPO TOTAL DE ESTUDOS</c:v>
                </c:pt>
              </c:strCache>
            </c:strRef>
          </c:tx>
          <c:spPr>
            <a:solidFill>
              <a:schemeClr val="accent1"/>
            </a:solidFill>
            <a:ln>
              <a:noFill/>
            </a:ln>
            <a:effectLst/>
            <a:sp3d/>
          </c:spPr>
          <c:invertIfNegative val="0"/>
          <c:dLbls>
            <c:dLbl>
              <c:idx val="0"/>
              <c:layout>
                <c:manualLayout>
                  <c:x val="-1.8331810975067617E-2"/>
                  <c:y val="-1.83908045977011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160-4ED5-AD4F-F976FD2EA2F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Base!$H$22</c:f>
              <c:numCache>
                <c:formatCode>[$-F400]h:mm:ss\ AM/PM</c:formatCode>
                <c:ptCount val="1"/>
                <c:pt idx="0">
                  <c:v>0</c:v>
                </c:pt>
              </c:numCache>
            </c:numRef>
          </c:val>
          <c:extLst>
            <c:ext xmlns:c16="http://schemas.microsoft.com/office/drawing/2014/chart" uri="{C3380CC4-5D6E-409C-BE32-E72D297353CC}">
              <c16:uniqueId val="{00000000-1160-4ED5-AD4F-F976FD2EA2F8}"/>
            </c:ext>
          </c:extLst>
        </c:ser>
        <c:ser>
          <c:idx val="1"/>
          <c:order val="1"/>
          <c:tx>
            <c:strRef>
              <c:f>Base!$G$23</c:f>
              <c:strCache>
                <c:ptCount val="1"/>
                <c:pt idx="0">
                  <c:v>T. MEDIO DE ESTUDO POR DISCIPLINA</c:v>
                </c:pt>
              </c:strCache>
            </c:strRef>
          </c:tx>
          <c:spPr>
            <a:solidFill>
              <a:schemeClr val="accent2"/>
            </a:solidFill>
            <a:ln>
              <a:noFill/>
            </a:ln>
            <a:effectLst/>
            <a:sp3d/>
          </c:spPr>
          <c:invertIfNegative val="0"/>
          <c:dLbls>
            <c:dLbl>
              <c:idx val="0"/>
              <c:layout>
                <c:manualLayout>
                  <c:x val="6.5994519510243294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60-4ED5-AD4F-F976FD2EA2F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Base!$H$23</c:f>
              <c:numCache>
                <c:formatCode>[$-F400]h:mm:ss\ AM/PM</c:formatCode>
                <c:ptCount val="1"/>
                <c:pt idx="0">
                  <c:v>0</c:v>
                </c:pt>
              </c:numCache>
            </c:numRef>
          </c:val>
          <c:extLst>
            <c:ext xmlns:c16="http://schemas.microsoft.com/office/drawing/2014/chart" uri="{C3380CC4-5D6E-409C-BE32-E72D297353CC}">
              <c16:uniqueId val="{00000001-1160-4ED5-AD4F-F976FD2EA2F8}"/>
            </c:ext>
          </c:extLst>
        </c:ser>
        <c:dLbls>
          <c:showLegendKey val="0"/>
          <c:showVal val="1"/>
          <c:showCatName val="0"/>
          <c:showSerName val="0"/>
          <c:showPercent val="0"/>
          <c:showBubbleSize val="0"/>
        </c:dLbls>
        <c:gapWidth val="150"/>
        <c:shape val="box"/>
        <c:axId val="380531376"/>
        <c:axId val="380535296"/>
        <c:axId val="381867392"/>
      </c:bar3DChart>
      <c:catAx>
        <c:axId val="380531376"/>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pt-BR"/>
          </a:p>
        </c:txPr>
        <c:crossAx val="380535296"/>
        <c:crosses val="autoZero"/>
        <c:auto val="1"/>
        <c:lblAlgn val="ctr"/>
        <c:lblOffset val="100"/>
        <c:noMultiLvlLbl val="0"/>
      </c:catAx>
      <c:valAx>
        <c:axId val="380535296"/>
        <c:scaling>
          <c:orientation val="minMax"/>
        </c:scaling>
        <c:delete val="1"/>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F400]h:mm:ss\ AM/PM" sourceLinked="1"/>
        <c:majorTickMark val="none"/>
        <c:minorTickMark val="none"/>
        <c:tickLblPos val="nextTo"/>
        <c:crossAx val="380531376"/>
        <c:crosses val="autoZero"/>
        <c:crossBetween val="between"/>
      </c:valAx>
      <c:serAx>
        <c:axId val="3818673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pt-BR"/>
          </a:p>
        </c:txPr>
        <c:crossAx val="380535296"/>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r>
              <a:rPr lang="en-US" b="1">
                <a:solidFill>
                  <a:schemeClr val="tx1"/>
                </a:solidFill>
              </a:rPr>
              <a:t>CONCLUSÃO POR DISCIPLINA</a:t>
            </a:r>
          </a:p>
        </c:rich>
      </c:tx>
      <c:overlay val="0"/>
      <c:spPr>
        <a:noFill/>
        <a:ln>
          <a:noFill/>
        </a:ln>
        <a:effectLst/>
      </c:spPr>
      <c:txPr>
        <a:bodyPr rot="0" spcFirstLastPara="1" vertOverflow="ellipsis" vert="horz" wrap="square" anchor="ctr" anchorCtr="1"/>
        <a:lstStyle/>
        <a:p>
          <a:pPr>
            <a:defRPr sz="2000" b="1" i="0" u="none" strike="noStrike" kern="1200" cap="none" spc="0" normalizeH="0" baseline="0">
              <a:solidFill>
                <a:schemeClr val="tx1"/>
              </a:solidFill>
              <a:latin typeface="+mj-lt"/>
              <a:ea typeface="+mj-ea"/>
              <a:cs typeface="+mj-cs"/>
            </a:defRPr>
          </a:pPr>
          <a:endParaRPr lang="pt-BR"/>
        </a:p>
      </c:txPr>
    </c:title>
    <c:autoTitleDeleted val="0"/>
    <c:plotArea>
      <c:layout/>
      <c:lineChart>
        <c:grouping val="stacked"/>
        <c:varyColors val="0"/>
        <c:ser>
          <c:idx val="0"/>
          <c:order val="0"/>
          <c:tx>
            <c:strRef>
              <c:f>Base!$P$7</c:f>
              <c:strCache>
                <c:ptCount val="1"/>
                <c:pt idx="0">
                  <c:v>Realizado %</c:v>
                </c:pt>
              </c:strCache>
            </c:strRef>
          </c:tx>
          <c:spPr>
            <a:ln w="38100" cap="rnd">
              <a:solidFill>
                <a:schemeClr val="tx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c:ext xmlns:c15="http://schemas.microsoft.com/office/drawing/2012/chart" uri="{02D57815-91ED-43cb-92C2-25804820EDAC}">
                  <c15:fullRef>
                    <c15:sqref>Base!$G$8:$G$21</c15:sqref>
                  </c15:fullRef>
                </c:ext>
              </c:extLst>
              <c:f>(Base!$G$8:$G$14,Base!$G$18:$G$21)</c:f>
              <c:strCache>
                <c:ptCount val="7"/>
                <c:pt idx="0">
                  <c:v>PORTUGUÊS</c:v>
                </c:pt>
                <c:pt idx="1">
                  <c:v>Hist. Asp Geoecon</c:v>
                </c:pt>
                <c:pt idx="2">
                  <c:v>Est.do Servidor</c:v>
                </c:pt>
                <c:pt idx="3">
                  <c:v>LEI EX. PENAL</c:v>
                </c:pt>
                <c:pt idx="4">
                  <c:v>DIREITOS HUMANOS</c:v>
                </c:pt>
                <c:pt idx="5">
                  <c:v>DIREITO ADMINISTRATIVO</c:v>
                </c:pt>
                <c:pt idx="6">
                  <c:v>PROCESSO PENAL</c:v>
                </c:pt>
              </c:strCache>
            </c:strRef>
          </c:cat>
          <c:val>
            <c:numRef>
              <c:extLst>
                <c:ext xmlns:c15="http://schemas.microsoft.com/office/drawing/2012/chart" uri="{02D57815-91ED-43cb-92C2-25804820EDAC}">
                  <c15:fullRef>
                    <c15:sqref>Base!$P$8:$P$21</c15:sqref>
                  </c15:fullRef>
                </c:ext>
              </c:extLst>
              <c:f>(Base!$P$8:$P$14,Base!$P$18:$P$21)</c:f>
              <c:numCache>
                <c:formatCode>0.0%</c:formatCode>
                <c:ptCount val="11"/>
                <c:pt idx="0">
                  <c:v>0</c:v>
                </c:pt>
                <c:pt idx="1">
                  <c:v>0</c:v>
                </c:pt>
                <c:pt idx="2">
                  <c:v>0.25</c:v>
                </c:pt>
                <c:pt idx="3">
                  <c:v>0.26666666666666666</c:v>
                </c:pt>
                <c:pt idx="4">
                  <c:v>3.2258064516129031E-2</c:v>
                </c:pt>
              </c:numCache>
            </c:numRef>
          </c:val>
          <c:smooth val="0"/>
          <c:extLst>
            <c:ext xmlns:c16="http://schemas.microsoft.com/office/drawing/2014/chart" uri="{C3380CC4-5D6E-409C-BE32-E72D297353CC}">
              <c16:uniqueId val="{00000000-7669-4463-A588-665AA2830D2C}"/>
            </c:ext>
          </c:extLst>
        </c:ser>
        <c:dLbls>
          <c:dLblPos val="t"/>
          <c:showLegendKey val="0"/>
          <c:showVal val="1"/>
          <c:showCatName val="0"/>
          <c:showSerName val="0"/>
          <c:showPercent val="0"/>
          <c:showBubbleSize val="0"/>
        </c:dLbls>
        <c:smooth val="0"/>
        <c:axId val="380534120"/>
        <c:axId val="380532944"/>
      </c:lineChart>
      <c:catAx>
        <c:axId val="380534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normalizeH="0" baseline="0">
                <a:solidFill>
                  <a:schemeClr val="tx1"/>
                </a:solidFill>
                <a:latin typeface="+mn-lt"/>
                <a:ea typeface="+mn-ea"/>
                <a:cs typeface="+mn-cs"/>
              </a:defRPr>
            </a:pPr>
            <a:endParaRPr lang="pt-BR"/>
          </a:p>
        </c:txPr>
        <c:crossAx val="380532944"/>
        <c:crosses val="autoZero"/>
        <c:auto val="1"/>
        <c:lblAlgn val="ctr"/>
        <c:lblOffset val="100"/>
        <c:noMultiLvlLbl val="0"/>
      </c:catAx>
      <c:valAx>
        <c:axId val="380532944"/>
        <c:scaling>
          <c:orientation val="minMax"/>
        </c:scaling>
        <c:delete val="1"/>
        <c:axPos val="l"/>
        <c:numFmt formatCode="0.0%" sourceLinked="1"/>
        <c:majorTickMark val="none"/>
        <c:minorTickMark val="none"/>
        <c:tickLblPos val="nextTo"/>
        <c:crossAx val="38053412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pt-BR">
                <a:solidFill>
                  <a:schemeClr val="tx1"/>
                </a:solidFill>
              </a:rPr>
              <a:t>TÓPICOS E SUB TÓPICOS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pt-BR"/>
        </a:p>
      </c:txPr>
    </c:title>
    <c:autoTitleDeleted val="0"/>
    <c:plotArea>
      <c:layout/>
      <c:lineChart>
        <c:grouping val="stacked"/>
        <c:varyColors val="0"/>
        <c:ser>
          <c:idx val="0"/>
          <c:order val="0"/>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Base!$F$2:$J$2</c:f>
              <c:strCache>
                <c:ptCount val="5"/>
                <c:pt idx="0">
                  <c:v>TÓPICOS EDITAL</c:v>
                </c:pt>
                <c:pt idx="1">
                  <c:v>SUB TÓPICOS</c:v>
                </c:pt>
                <c:pt idx="2">
                  <c:v>SUB TÓPICOS OK</c:v>
                </c:pt>
                <c:pt idx="3">
                  <c:v>SUB TÓPICOS RESTANTES</c:v>
                </c:pt>
                <c:pt idx="4">
                  <c:v>CONCLUSÃO %</c:v>
                </c:pt>
              </c:strCache>
            </c:strRef>
          </c:cat>
          <c:val>
            <c:numRef>
              <c:f>Base!$F$3:$J$3</c:f>
              <c:numCache>
                <c:formatCode>General</c:formatCode>
                <c:ptCount val="5"/>
                <c:pt idx="0">
                  <c:v>11</c:v>
                </c:pt>
                <c:pt idx="1">
                  <c:v>149</c:v>
                </c:pt>
                <c:pt idx="2">
                  <c:v>12</c:v>
                </c:pt>
                <c:pt idx="3">
                  <c:v>137</c:v>
                </c:pt>
                <c:pt idx="4" formatCode="0.0%">
                  <c:v>8.0536912751677847E-2</c:v>
                </c:pt>
              </c:numCache>
            </c:numRef>
          </c:val>
          <c:smooth val="0"/>
          <c:extLst>
            <c:ext xmlns:c16="http://schemas.microsoft.com/office/drawing/2014/chart" uri="{C3380CC4-5D6E-409C-BE32-E72D297353CC}">
              <c16:uniqueId val="{00000000-18E5-4F99-88B9-6D0077510FC3}"/>
            </c:ext>
          </c:extLst>
        </c:ser>
        <c:dLbls>
          <c:dLblPos val="t"/>
          <c:showLegendKey val="0"/>
          <c:showVal val="1"/>
          <c:showCatName val="0"/>
          <c:showSerName val="0"/>
          <c:showPercent val="0"/>
          <c:showBubbleSize val="0"/>
        </c:dLbls>
        <c:smooth val="0"/>
        <c:axId val="402775936"/>
        <c:axId val="402776328"/>
      </c:lineChart>
      <c:catAx>
        <c:axId val="402775936"/>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crossAx val="402776328"/>
        <c:crosses val="autoZero"/>
        <c:auto val="1"/>
        <c:lblAlgn val="ctr"/>
        <c:lblOffset val="100"/>
        <c:noMultiLvlLbl val="0"/>
      </c:catAx>
      <c:valAx>
        <c:axId val="402776328"/>
        <c:scaling>
          <c:orientation val="minMax"/>
        </c:scaling>
        <c:delete val="1"/>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crossAx val="4027759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r>
              <a:rPr lang="pt-BR">
                <a:solidFill>
                  <a:schemeClr val="tx1"/>
                </a:solidFill>
              </a:rPr>
              <a:t>QUESTÕES</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solidFill>
              <a:latin typeface="+mn-lt"/>
              <a:ea typeface="+mn-ea"/>
              <a:cs typeface="+mn-cs"/>
            </a:defRPr>
          </a:pPr>
          <a:endParaRPr lang="pt-BR"/>
        </a:p>
      </c:txPr>
    </c:title>
    <c:autoTitleDeleted val="0"/>
    <c:plotArea>
      <c:layout/>
      <c:lineChart>
        <c:grouping val="stacked"/>
        <c:varyColors val="0"/>
        <c:ser>
          <c:idx val="0"/>
          <c:order val="0"/>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Base!$G$4:$J$4</c:f>
              <c:strCache>
                <c:ptCount val="4"/>
                <c:pt idx="0">
                  <c:v>Q REALIZADAS</c:v>
                </c:pt>
                <c:pt idx="1">
                  <c:v>Q CORRETAS</c:v>
                </c:pt>
                <c:pt idx="2">
                  <c:v>Q ERRADAS</c:v>
                </c:pt>
                <c:pt idx="3">
                  <c:v>ACERTIVIDADE %</c:v>
                </c:pt>
              </c:strCache>
            </c:strRef>
          </c:cat>
          <c:val>
            <c:numRef>
              <c:f>Base!$G$5:$J$5</c:f>
              <c:numCache>
                <c:formatCode>General</c:formatCode>
                <c:ptCount val="4"/>
                <c:pt idx="0">
                  <c:v>134</c:v>
                </c:pt>
                <c:pt idx="1">
                  <c:v>106</c:v>
                </c:pt>
                <c:pt idx="2">
                  <c:v>28</c:v>
                </c:pt>
                <c:pt idx="3" formatCode="0%">
                  <c:v>0.79104477611940294</c:v>
                </c:pt>
              </c:numCache>
            </c:numRef>
          </c:val>
          <c:smooth val="0"/>
          <c:extLst>
            <c:ext xmlns:c16="http://schemas.microsoft.com/office/drawing/2014/chart" uri="{C3380CC4-5D6E-409C-BE32-E72D297353CC}">
              <c16:uniqueId val="{00000000-52B4-4B95-B9AC-B0B2B3FA0D30}"/>
            </c:ext>
          </c:extLst>
        </c:ser>
        <c:dLbls>
          <c:dLblPos val="t"/>
          <c:showLegendKey val="0"/>
          <c:showVal val="1"/>
          <c:showCatName val="0"/>
          <c:showSerName val="0"/>
          <c:showPercent val="0"/>
          <c:showBubbleSize val="0"/>
        </c:dLbls>
        <c:smooth val="0"/>
        <c:axId val="402775544"/>
        <c:axId val="402781032"/>
      </c:lineChart>
      <c:catAx>
        <c:axId val="40277554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pt-BR"/>
          </a:p>
        </c:txPr>
        <c:crossAx val="402781032"/>
        <c:crosses val="autoZero"/>
        <c:auto val="1"/>
        <c:lblAlgn val="ctr"/>
        <c:lblOffset val="100"/>
        <c:noMultiLvlLbl val="0"/>
      </c:catAx>
      <c:valAx>
        <c:axId val="402781032"/>
        <c:scaling>
          <c:orientation val="minMax"/>
        </c:scaling>
        <c:delete val="1"/>
        <c:axPos val="l"/>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crossAx val="402775544"/>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pt-BR" sz="1600" b="1">
                <a:solidFill>
                  <a:schemeClr val="tx1"/>
                </a:solidFill>
              </a:rPr>
              <a:t>CONCLUSÃO DO</a:t>
            </a:r>
            <a:r>
              <a:rPr lang="pt-BR" sz="1600" b="1" baseline="0">
                <a:solidFill>
                  <a:schemeClr val="tx1"/>
                </a:solidFill>
              </a:rPr>
              <a:t> CONOGRAMA</a:t>
            </a:r>
            <a:endParaRPr lang="pt-BR"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pt-BR"/>
        </a:p>
      </c:txPr>
    </c:title>
    <c:autoTitleDeleted val="0"/>
    <c:plotArea>
      <c:layout>
        <c:manualLayout>
          <c:layoutTarget val="inner"/>
          <c:xMode val="edge"/>
          <c:yMode val="edge"/>
          <c:x val="0.34066217864283144"/>
          <c:y val="0.18008848567295702"/>
          <c:w val="0.30315180721159934"/>
          <c:h val="0.68658928013161635"/>
        </c:manualLayout>
      </c:layout>
      <c:doughnut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6462-42B0-8A6D-A23A27EEEA42}"/>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6462-42B0-8A6D-A23A27EEEA42}"/>
              </c:ext>
            </c:extLst>
          </c:dPt>
          <c:dPt>
            <c:idx val="2"/>
            <c:bubble3D val="0"/>
            <c:spPr>
              <a:solidFill>
                <a:schemeClr val="accent6"/>
              </a:solidFill>
              <a:ln w="19050">
                <a:solidFill>
                  <a:schemeClr val="lt1"/>
                </a:solidFill>
              </a:ln>
              <a:effectLst/>
            </c:spPr>
            <c:extLst>
              <c:ext xmlns:c16="http://schemas.microsoft.com/office/drawing/2014/chart" uri="{C3380CC4-5D6E-409C-BE32-E72D297353CC}">
                <c16:uniqueId val="{00000005-6462-42B0-8A6D-A23A27EEEA42}"/>
              </c:ext>
            </c:extLst>
          </c:dPt>
          <c:dLbls>
            <c:dLbl>
              <c:idx val="2"/>
              <c:layout>
                <c:manualLayout>
                  <c:x val="1.9013666784142184E-2"/>
                  <c:y val="-6.8900554663028121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462-42B0-8A6D-A23A27EEEA42}"/>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Plan1!$AA$1:$AC$1</c:f>
              <c:strCache>
                <c:ptCount val="3"/>
                <c:pt idx="0">
                  <c:v>Restante</c:v>
                </c:pt>
                <c:pt idx="1">
                  <c:v>não realizado</c:v>
                </c:pt>
                <c:pt idx="2">
                  <c:v>realizado</c:v>
                </c:pt>
              </c:strCache>
            </c:strRef>
          </c:cat>
          <c:val>
            <c:numRef>
              <c:f>Plan1!$AA$2:$AC$2</c:f>
              <c:numCache>
                <c:formatCode>General</c:formatCode>
                <c:ptCount val="3"/>
                <c:pt idx="0">
                  <c:v>47</c:v>
                </c:pt>
                <c:pt idx="1">
                  <c:v>0</c:v>
                </c:pt>
                <c:pt idx="2">
                  <c:v>21</c:v>
                </c:pt>
              </c:numCache>
            </c:numRef>
          </c:val>
          <c:extLst>
            <c:ext xmlns:c16="http://schemas.microsoft.com/office/drawing/2014/chart" uri="{C3380CC4-5D6E-409C-BE32-E72D297353CC}">
              <c16:uniqueId val="{00000006-6462-42B0-8A6D-A23A27EEEA42}"/>
            </c:ext>
          </c:extLst>
        </c:ser>
        <c:dLbls>
          <c:showLegendKey val="0"/>
          <c:showVal val="0"/>
          <c:showCatName val="0"/>
          <c:showSerName val="0"/>
          <c:showPercent val="1"/>
          <c:showBubbleSize val="0"/>
          <c:showLeaderLines val="1"/>
        </c:dLbls>
        <c:firstSliceAng val="0"/>
        <c:holeSize val="59"/>
      </c:doughnutChart>
      <c:spPr>
        <a:noFill/>
        <a:ln>
          <a:noFill/>
        </a:ln>
        <a:effectLst/>
      </c:spPr>
    </c:plotArea>
    <c:legend>
      <c:legendPos val="l"/>
      <c:layout>
        <c:manualLayout>
          <c:xMode val="edge"/>
          <c:yMode val="edge"/>
          <c:x val="1.1408200070485309E-2"/>
          <c:y val="0.22131048041182996"/>
          <c:w val="0.24409745417481732"/>
          <c:h val="0.69457726864909475"/>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2.xml.rels><?xml version="1.0" encoding="UTF-8" standalone="yes"?>
<Relationships xmlns="http://schemas.openxmlformats.org/package/2006/relationships"><Relationship Id="rId8" Type="http://schemas.openxmlformats.org/officeDocument/2006/relationships/hyperlink" Target="#'7'!A1"/><Relationship Id="rId13" Type="http://schemas.openxmlformats.org/officeDocument/2006/relationships/hyperlink" Target="#capa!A1"/><Relationship Id="rId3" Type="http://schemas.openxmlformats.org/officeDocument/2006/relationships/hyperlink" Target="#'2'!A1"/><Relationship Id="rId7" Type="http://schemas.openxmlformats.org/officeDocument/2006/relationships/hyperlink" Target="#'6'!A1"/><Relationship Id="rId12" Type="http://schemas.openxmlformats.org/officeDocument/2006/relationships/hyperlink" Target="#'10 (2)'!A1"/><Relationship Id="rId2" Type="http://schemas.openxmlformats.org/officeDocument/2006/relationships/hyperlink" Target="#'1'!A1"/><Relationship Id="rId16" Type="http://schemas.openxmlformats.org/officeDocument/2006/relationships/hyperlink" Target="#'11'!A1"/><Relationship Id="rId1" Type="http://schemas.openxmlformats.org/officeDocument/2006/relationships/image" Target="../media/image9.png"/><Relationship Id="rId6" Type="http://schemas.openxmlformats.org/officeDocument/2006/relationships/hyperlink" Target="#'5'!A1"/><Relationship Id="rId11" Type="http://schemas.openxmlformats.org/officeDocument/2006/relationships/hyperlink" Target="#'9'!A1"/><Relationship Id="rId5" Type="http://schemas.openxmlformats.org/officeDocument/2006/relationships/hyperlink" Target="#'3'!A1"/><Relationship Id="rId15" Type="http://schemas.openxmlformats.org/officeDocument/2006/relationships/image" Target="../media/image8.svg"/><Relationship Id="rId10" Type="http://schemas.openxmlformats.org/officeDocument/2006/relationships/hyperlink" Target="#'10'!A1"/><Relationship Id="rId4" Type="http://schemas.openxmlformats.org/officeDocument/2006/relationships/hyperlink" Target="#'4'!A1"/><Relationship Id="rId9" Type="http://schemas.openxmlformats.org/officeDocument/2006/relationships/hyperlink" Target="#'8'!A1"/><Relationship Id="rId14" Type="http://schemas.openxmlformats.org/officeDocument/2006/relationships/image" Target="../media/image7.png"/></Relationships>
</file>

<file path=xl/drawings/_rels/drawing3.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8.png"/><Relationship Id="rId3" Type="http://schemas.openxmlformats.org/officeDocument/2006/relationships/image" Target="../media/image11.svg"/><Relationship Id="rId7" Type="http://schemas.openxmlformats.org/officeDocument/2006/relationships/hyperlink" Target="#agenda!A1"/><Relationship Id="rId12" Type="http://schemas.openxmlformats.org/officeDocument/2006/relationships/image" Target="../media/image17.svg"/><Relationship Id="rId17" Type="http://schemas.openxmlformats.org/officeDocument/2006/relationships/hyperlink" Target="#Plan1!A1"/><Relationship Id="rId2" Type="http://schemas.openxmlformats.org/officeDocument/2006/relationships/image" Target="../media/image10.png"/><Relationship Id="rId16" Type="http://schemas.openxmlformats.org/officeDocument/2006/relationships/image" Target="../media/image21.svg"/><Relationship Id="rId1" Type="http://schemas.openxmlformats.org/officeDocument/2006/relationships/hyperlink" Target="https://www.avalia.org.br/concursos/619" TargetMode="External"/><Relationship Id="rId6" Type="http://schemas.openxmlformats.org/officeDocument/2006/relationships/image" Target="../media/image13.svg"/><Relationship Id="rId11" Type="http://schemas.openxmlformats.org/officeDocument/2006/relationships/image" Target="../media/image16.png"/><Relationship Id="rId5" Type="http://schemas.openxmlformats.org/officeDocument/2006/relationships/image" Target="../media/image12.png"/><Relationship Id="rId15" Type="http://schemas.openxmlformats.org/officeDocument/2006/relationships/image" Target="../media/image20.png"/><Relationship Id="rId10" Type="http://schemas.openxmlformats.org/officeDocument/2006/relationships/hyperlink" Target="#desempenho!A1"/><Relationship Id="rId4" Type="http://schemas.openxmlformats.org/officeDocument/2006/relationships/hyperlink" Target="#'capa (2)'!A1"/><Relationship Id="rId9" Type="http://schemas.openxmlformats.org/officeDocument/2006/relationships/image" Target="../media/image15.svg"/><Relationship Id="rId14" Type="http://schemas.openxmlformats.org/officeDocument/2006/relationships/image" Target="../media/image19.sv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hyperlink" Target="#capa!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image" Target="../media/image8.svg"/></Relationships>
</file>

<file path=xl/drawings/_rels/drawing5.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9.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hyperlink" Target="#capa!A1"/><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hyperlink" Target="#'capa (2)'!A1"/><Relationship Id="rId5" Type="http://schemas.openxmlformats.org/officeDocument/2006/relationships/image" Target="../media/image8.svg"/><Relationship Id="rId4"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capa!A1"/></Relationships>
</file>

<file path=xl/drawings/_rels/drawing17.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capa!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 Id="rId4"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7.emf"/><Relationship Id="rId1" Type="http://schemas.openxmlformats.org/officeDocument/2006/relationships/image" Target="../media/image26.emf"/><Relationship Id="rId4" Type="http://schemas.openxmlformats.org/officeDocument/2006/relationships/image" Target="../media/image2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4"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4" Type="http://schemas.openxmlformats.org/officeDocument/2006/relationships/image" Target="../media/image3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4" Type="http://schemas.openxmlformats.org/officeDocument/2006/relationships/image" Target="../media/image4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 Id="rId4" Type="http://schemas.openxmlformats.org/officeDocument/2006/relationships/image" Target="../media/image4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1.emf"/><Relationship Id="rId1" Type="http://schemas.openxmlformats.org/officeDocument/2006/relationships/image" Target="../media/image50.emf"/><Relationship Id="rId4" Type="http://schemas.openxmlformats.org/officeDocument/2006/relationships/image" Target="../media/image5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 Id="rId4" Type="http://schemas.openxmlformats.org/officeDocument/2006/relationships/image" Target="../media/image57.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4" Type="http://schemas.openxmlformats.org/officeDocument/2006/relationships/image" Target="../media/image6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drawing1.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85020" y="314325"/>
          <a:ext cx="304800" cy="287655"/>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3" name="Gráfico 3" descr="Casa com preenchimento sólido">
          <a:hlinkClick xmlns:r="http://schemas.openxmlformats.org/officeDocument/2006/relationships" r:id="rId3"/>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2955"/>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4" name="Seta: para a Esquerda 4">
          <a:hlinkClick xmlns:r="http://schemas.openxmlformats.org/officeDocument/2006/relationships" r:id="rId6"/>
          <a:extLst>
            <a:ext uri="{FF2B5EF4-FFF2-40B4-BE49-F238E27FC236}">
              <a16:creationId xmlns:a16="http://schemas.microsoft.com/office/drawing/2014/main" id="{00000000-0008-0000-0000-000004000000}"/>
            </a:ext>
          </a:extLst>
        </xdr:cNvPr>
        <xdr:cNvSpPr/>
      </xdr:nvSpPr>
      <xdr:spPr>
        <a:xfrm>
          <a:off x="211950" y="687705"/>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5</xdr:col>
          <xdr:colOff>30480</xdr:colOff>
          <xdr:row>0</xdr:row>
          <xdr:rowOff>137160</xdr:rowOff>
        </xdr:from>
        <xdr:to>
          <xdr:col>6</xdr:col>
          <xdr:colOff>121920</xdr:colOff>
          <xdr:row>1</xdr:row>
          <xdr:rowOff>198120</xdr:rowOff>
        </xdr:to>
        <xdr:sp macro="" textlink="">
          <xdr:nvSpPr>
            <xdr:cNvPr id="22529" name="CommandButton1" hidden="1">
              <a:extLst>
                <a:ext uri="{63B3BB69-23CF-44E3-9099-C40C66FF867C}">
                  <a14:compatExt spid="_x0000_s22529"/>
                </a:ext>
                <a:ext uri="{FF2B5EF4-FFF2-40B4-BE49-F238E27FC236}">
                  <a16:creationId xmlns:a16="http://schemas.microsoft.com/office/drawing/2014/main" id="{00000000-0008-0000-00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373380</xdr:colOff>
          <xdr:row>0</xdr:row>
          <xdr:rowOff>121920</xdr:rowOff>
        </xdr:from>
        <xdr:to>
          <xdr:col>7</xdr:col>
          <xdr:colOff>579120</xdr:colOff>
          <xdr:row>1</xdr:row>
          <xdr:rowOff>198120</xdr:rowOff>
        </xdr:to>
        <xdr:sp macro="" textlink="">
          <xdr:nvSpPr>
            <xdr:cNvPr id="22530" name="CommandButton2" hidden="1">
              <a:extLst>
                <a:ext uri="{63B3BB69-23CF-44E3-9099-C40C66FF867C}">
                  <a14:compatExt spid="_x0000_s22530"/>
                </a:ext>
                <a:ext uri="{FF2B5EF4-FFF2-40B4-BE49-F238E27FC236}">
                  <a16:creationId xmlns:a16="http://schemas.microsoft.com/office/drawing/2014/main" id="{00000000-0008-0000-00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754380</xdr:colOff>
          <xdr:row>0</xdr:row>
          <xdr:rowOff>121920</xdr:rowOff>
        </xdr:from>
        <xdr:to>
          <xdr:col>9</xdr:col>
          <xdr:colOff>182880</xdr:colOff>
          <xdr:row>1</xdr:row>
          <xdr:rowOff>198120</xdr:rowOff>
        </xdr:to>
        <xdr:sp macro="" textlink="">
          <xdr:nvSpPr>
            <xdr:cNvPr id="22531" name="CommandButton3" hidden="1">
              <a:extLst>
                <a:ext uri="{63B3BB69-23CF-44E3-9099-C40C66FF867C}">
                  <a14:compatExt spid="_x0000_s22531"/>
                </a:ext>
                <a:ext uri="{FF2B5EF4-FFF2-40B4-BE49-F238E27FC236}">
                  <a16:creationId xmlns:a16="http://schemas.microsoft.com/office/drawing/2014/main" id="{00000000-0008-0000-00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335280</xdr:colOff>
          <xdr:row>0</xdr:row>
          <xdr:rowOff>0</xdr:rowOff>
        </xdr:from>
        <xdr:to>
          <xdr:col>18</xdr:col>
          <xdr:colOff>594360</xdr:colOff>
          <xdr:row>1</xdr:row>
          <xdr:rowOff>68580</xdr:rowOff>
        </xdr:to>
        <xdr:sp macro="" textlink="">
          <xdr:nvSpPr>
            <xdr:cNvPr id="22532" name="CommandButton4" hidden="1">
              <a:extLst>
                <a:ext uri="{63B3BB69-23CF-44E3-9099-C40C66FF867C}">
                  <a14:compatExt spid="_x0000_s22532"/>
                </a:ext>
                <a:ext uri="{FF2B5EF4-FFF2-40B4-BE49-F238E27FC236}">
                  <a16:creationId xmlns:a16="http://schemas.microsoft.com/office/drawing/2014/main" id="{00000000-0008-0000-0000-00000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38100</xdr:colOff>
      <xdr:row>0</xdr:row>
      <xdr:rowOff>142875</xdr:rowOff>
    </xdr:from>
    <xdr:to>
      <xdr:col>23</xdr:col>
      <xdr:colOff>314325</xdr:colOff>
      <xdr:row>15</xdr:row>
      <xdr:rowOff>52528</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29975" y="142875"/>
          <a:ext cx="5762625" cy="3233878"/>
        </a:xfrm>
        <a:prstGeom prst="rect">
          <a:avLst/>
        </a:prstGeom>
      </xdr:spPr>
    </xdr:pic>
    <xdr:clientData/>
  </xdr:twoCellAnchor>
  <xdr:twoCellAnchor>
    <xdr:from>
      <xdr:col>0</xdr:col>
      <xdr:colOff>47625</xdr:colOff>
      <xdr:row>4</xdr:row>
      <xdr:rowOff>28575</xdr:rowOff>
    </xdr:from>
    <xdr:to>
      <xdr:col>0</xdr:col>
      <xdr:colOff>2028825</xdr:colOff>
      <xdr:row>4</xdr:row>
      <xdr:rowOff>180975</xdr:rowOff>
    </xdr:to>
    <xdr:sp macro="" textlink="">
      <xdr:nvSpPr>
        <xdr:cNvPr id="5" name="Seta: Pentágono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47625" y="1143000"/>
          <a:ext cx="1981200" cy="152400"/>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PORTUGUÊS</a:t>
          </a:r>
        </a:p>
      </xdr:txBody>
    </xdr:sp>
    <xdr:clientData/>
  </xdr:twoCellAnchor>
  <xdr:twoCellAnchor>
    <xdr:from>
      <xdr:col>0</xdr:col>
      <xdr:colOff>47625</xdr:colOff>
      <xdr:row>5</xdr:row>
      <xdr:rowOff>28575</xdr:rowOff>
    </xdr:from>
    <xdr:to>
      <xdr:col>0</xdr:col>
      <xdr:colOff>2019300</xdr:colOff>
      <xdr:row>5</xdr:row>
      <xdr:rowOff>180975</xdr:rowOff>
    </xdr:to>
    <xdr:sp macro="" textlink="">
      <xdr:nvSpPr>
        <xdr:cNvPr id="44" name="Seta: Pentágono 43">
          <a:hlinkClick xmlns:r="http://schemas.openxmlformats.org/officeDocument/2006/relationships" r:id="rId3"/>
          <a:extLst>
            <a:ext uri="{FF2B5EF4-FFF2-40B4-BE49-F238E27FC236}">
              <a16:creationId xmlns:a16="http://schemas.microsoft.com/office/drawing/2014/main" id="{00000000-0008-0000-0100-00002C000000}"/>
            </a:ext>
          </a:extLst>
        </xdr:cNvPr>
        <xdr:cNvSpPr/>
      </xdr:nvSpPr>
      <xdr:spPr>
        <a:xfrm>
          <a:off x="47625" y="1333500"/>
          <a:ext cx="1971675" cy="152400"/>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HIST.ASPCT</a:t>
          </a:r>
          <a:r>
            <a:rPr lang="pt-BR" sz="1100" baseline="0">
              <a:solidFill>
                <a:schemeClr val="bg1"/>
              </a:solidFill>
            </a:rPr>
            <a:t> GEOECO.</a:t>
          </a:r>
          <a:endParaRPr lang="pt-BR" sz="1100">
            <a:solidFill>
              <a:schemeClr val="bg1"/>
            </a:solidFill>
          </a:endParaRPr>
        </a:p>
      </xdr:txBody>
    </xdr:sp>
    <xdr:clientData/>
  </xdr:twoCellAnchor>
  <xdr:twoCellAnchor>
    <xdr:from>
      <xdr:col>0</xdr:col>
      <xdr:colOff>47623</xdr:colOff>
      <xdr:row>7</xdr:row>
      <xdr:rowOff>28576</xdr:rowOff>
    </xdr:from>
    <xdr:to>
      <xdr:col>0</xdr:col>
      <xdr:colOff>2028824</xdr:colOff>
      <xdr:row>7</xdr:row>
      <xdr:rowOff>171450</xdr:rowOff>
    </xdr:to>
    <xdr:sp macro="" textlink="">
      <xdr:nvSpPr>
        <xdr:cNvPr id="45" name="Seta: Pentágono 44">
          <a:hlinkClick xmlns:r="http://schemas.openxmlformats.org/officeDocument/2006/relationships" r:id="rId4"/>
          <a:extLst>
            <a:ext uri="{FF2B5EF4-FFF2-40B4-BE49-F238E27FC236}">
              <a16:creationId xmlns:a16="http://schemas.microsoft.com/office/drawing/2014/main" id="{00000000-0008-0000-0100-00002D000000}"/>
            </a:ext>
          </a:extLst>
        </xdr:cNvPr>
        <xdr:cNvSpPr/>
      </xdr:nvSpPr>
      <xdr:spPr>
        <a:xfrm>
          <a:off x="47623" y="1714501"/>
          <a:ext cx="1981201" cy="142874"/>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rgbClr val="FF0000"/>
              </a:solidFill>
            </a:rPr>
            <a:t>LEI</a:t>
          </a:r>
          <a:r>
            <a:rPr lang="pt-BR" sz="1100" baseline="0">
              <a:solidFill>
                <a:srgbClr val="FF0000"/>
              </a:solidFill>
            </a:rPr>
            <a:t> EXE. PEN</a:t>
          </a:r>
          <a:r>
            <a:rPr lang="pt-BR" sz="1100">
              <a:solidFill>
                <a:srgbClr val="FF0000"/>
              </a:solidFill>
            </a:rPr>
            <a:t>AL</a:t>
          </a:r>
        </a:p>
      </xdr:txBody>
    </xdr:sp>
    <xdr:clientData/>
  </xdr:twoCellAnchor>
  <xdr:twoCellAnchor>
    <xdr:from>
      <xdr:col>0</xdr:col>
      <xdr:colOff>38099</xdr:colOff>
      <xdr:row>6</xdr:row>
      <xdr:rowOff>28575</xdr:rowOff>
    </xdr:from>
    <xdr:to>
      <xdr:col>0</xdr:col>
      <xdr:colOff>2038350</xdr:colOff>
      <xdr:row>6</xdr:row>
      <xdr:rowOff>171450</xdr:rowOff>
    </xdr:to>
    <xdr:sp macro="" textlink="">
      <xdr:nvSpPr>
        <xdr:cNvPr id="46" name="Seta: Pentágono 45">
          <a:hlinkClick xmlns:r="http://schemas.openxmlformats.org/officeDocument/2006/relationships" r:id="rId5"/>
          <a:extLst>
            <a:ext uri="{FF2B5EF4-FFF2-40B4-BE49-F238E27FC236}">
              <a16:creationId xmlns:a16="http://schemas.microsoft.com/office/drawing/2014/main" id="{00000000-0008-0000-0100-00002E000000}"/>
            </a:ext>
          </a:extLst>
        </xdr:cNvPr>
        <xdr:cNvSpPr/>
      </xdr:nvSpPr>
      <xdr:spPr>
        <a:xfrm>
          <a:off x="38099" y="1524000"/>
          <a:ext cx="2000251"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rgbClr val="FF0000"/>
              </a:solidFill>
            </a:rPr>
            <a:t>LEGS.</a:t>
          </a:r>
          <a:r>
            <a:rPr lang="pt-BR" sz="1100" baseline="0">
              <a:solidFill>
                <a:srgbClr val="FF0000"/>
              </a:solidFill>
            </a:rPr>
            <a:t> ESPECIFICA</a:t>
          </a:r>
          <a:endParaRPr lang="pt-BR" sz="1100">
            <a:solidFill>
              <a:srgbClr val="FF0000"/>
            </a:solidFill>
          </a:endParaRPr>
        </a:p>
      </xdr:txBody>
    </xdr:sp>
    <xdr:clientData/>
  </xdr:twoCellAnchor>
  <xdr:twoCellAnchor>
    <xdr:from>
      <xdr:col>0</xdr:col>
      <xdr:colOff>47624</xdr:colOff>
      <xdr:row>8</xdr:row>
      <xdr:rowOff>28575</xdr:rowOff>
    </xdr:from>
    <xdr:to>
      <xdr:col>0</xdr:col>
      <xdr:colOff>2009775</xdr:colOff>
      <xdr:row>8</xdr:row>
      <xdr:rowOff>180975</xdr:rowOff>
    </xdr:to>
    <xdr:sp macro="" textlink="">
      <xdr:nvSpPr>
        <xdr:cNvPr id="47" name="Seta: Pentágono 46">
          <a:hlinkClick xmlns:r="http://schemas.openxmlformats.org/officeDocument/2006/relationships" r:id="rId6"/>
          <a:extLst>
            <a:ext uri="{FF2B5EF4-FFF2-40B4-BE49-F238E27FC236}">
              <a16:creationId xmlns:a16="http://schemas.microsoft.com/office/drawing/2014/main" id="{00000000-0008-0000-0100-00002F000000}"/>
            </a:ext>
          </a:extLst>
        </xdr:cNvPr>
        <xdr:cNvSpPr/>
      </xdr:nvSpPr>
      <xdr:spPr>
        <a:xfrm>
          <a:off x="47624" y="1905000"/>
          <a:ext cx="1962151" cy="152400"/>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DIREITOS</a:t>
          </a:r>
          <a:r>
            <a:rPr lang="pt-BR" sz="1100" baseline="0">
              <a:solidFill>
                <a:schemeClr val="bg1"/>
              </a:solidFill>
            </a:rPr>
            <a:t> HUMANOS</a:t>
          </a:r>
          <a:endParaRPr lang="pt-BR" sz="1100">
            <a:solidFill>
              <a:schemeClr val="bg1"/>
            </a:solidFill>
          </a:endParaRPr>
        </a:p>
      </xdr:txBody>
    </xdr:sp>
    <xdr:clientData/>
  </xdr:twoCellAnchor>
  <xdr:twoCellAnchor>
    <xdr:from>
      <xdr:col>0</xdr:col>
      <xdr:colOff>47624</xdr:colOff>
      <xdr:row>9</xdr:row>
      <xdr:rowOff>28575</xdr:rowOff>
    </xdr:from>
    <xdr:to>
      <xdr:col>0</xdr:col>
      <xdr:colOff>1981199</xdr:colOff>
      <xdr:row>9</xdr:row>
      <xdr:rowOff>171450</xdr:rowOff>
    </xdr:to>
    <xdr:sp macro="" textlink="">
      <xdr:nvSpPr>
        <xdr:cNvPr id="48" name="Seta: Pentágono 47">
          <a:hlinkClick xmlns:r="http://schemas.openxmlformats.org/officeDocument/2006/relationships" r:id="rId7"/>
          <a:extLst>
            <a:ext uri="{FF2B5EF4-FFF2-40B4-BE49-F238E27FC236}">
              <a16:creationId xmlns:a16="http://schemas.microsoft.com/office/drawing/2014/main" id="{00000000-0008-0000-0100-000030000000}"/>
            </a:ext>
          </a:extLst>
        </xdr:cNvPr>
        <xdr:cNvSpPr/>
      </xdr:nvSpPr>
      <xdr:spPr>
        <a:xfrm>
          <a:off x="47624" y="209550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DIREITO ADM</a:t>
          </a:r>
        </a:p>
      </xdr:txBody>
    </xdr:sp>
    <xdr:clientData/>
  </xdr:twoCellAnchor>
  <xdr:twoCellAnchor>
    <xdr:from>
      <xdr:col>0</xdr:col>
      <xdr:colOff>47624</xdr:colOff>
      <xdr:row>10</xdr:row>
      <xdr:rowOff>28575</xdr:rowOff>
    </xdr:from>
    <xdr:to>
      <xdr:col>0</xdr:col>
      <xdr:colOff>1981199</xdr:colOff>
      <xdr:row>10</xdr:row>
      <xdr:rowOff>171450</xdr:rowOff>
    </xdr:to>
    <xdr:sp macro="" textlink="">
      <xdr:nvSpPr>
        <xdr:cNvPr id="59" name="Seta: Pentágono 58">
          <a:hlinkClick xmlns:r="http://schemas.openxmlformats.org/officeDocument/2006/relationships" r:id="rId8"/>
          <a:extLst>
            <a:ext uri="{FF2B5EF4-FFF2-40B4-BE49-F238E27FC236}">
              <a16:creationId xmlns:a16="http://schemas.microsoft.com/office/drawing/2014/main" id="{00000000-0008-0000-0100-00003B000000}"/>
            </a:ext>
          </a:extLst>
        </xdr:cNvPr>
        <xdr:cNvSpPr/>
      </xdr:nvSpPr>
      <xdr:spPr>
        <a:xfrm>
          <a:off x="47624" y="228600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PROCESSO PENAL</a:t>
          </a:r>
        </a:p>
      </xdr:txBody>
    </xdr:sp>
    <xdr:clientData/>
  </xdr:twoCellAnchor>
  <xdr:twoCellAnchor>
    <xdr:from>
      <xdr:col>0</xdr:col>
      <xdr:colOff>47624</xdr:colOff>
      <xdr:row>11</xdr:row>
      <xdr:rowOff>28575</xdr:rowOff>
    </xdr:from>
    <xdr:to>
      <xdr:col>0</xdr:col>
      <xdr:colOff>1981199</xdr:colOff>
      <xdr:row>11</xdr:row>
      <xdr:rowOff>171450</xdr:rowOff>
    </xdr:to>
    <xdr:sp macro="" textlink="">
      <xdr:nvSpPr>
        <xdr:cNvPr id="60" name="Seta: Pentágono 59">
          <a:hlinkClick xmlns:r="http://schemas.openxmlformats.org/officeDocument/2006/relationships" r:id="rId9"/>
          <a:extLst>
            <a:ext uri="{FF2B5EF4-FFF2-40B4-BE49-F238E27FC236}">
              <a16:creationId xmlns:a16="http://schemas.microsoft.com/office/drawing/2014/main" id="{00000000-0008-0000-0100-00003C000000}"/>
            </a:ext>
          </a:extLst>
        </xdr:cNvPr>
        <xdr:cNvSpPr/>
      </xdr:nvSpPr>
      <xdr:spPr>
        <a:xfrm>
          <a:off x="47624" y="2543175"/>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rgbClr val="FF0000"/>
              </a:solidFill>
            </a:rPr>
            <a:t>DIREITO</a:t>
          </a:r>
          <a:r>
            <a:rPr lang="pt-BR" sz="1100" baseline="0">
              <a:solidFill>
                <a:srgbClr val="FF0000"/>
              </a:solidFill>
            </a:rPr>
            <a:t> E PROC PENAL</a:t>
          </a:r>
          <a:endParaRPr lang="pt-BR" sz="1100">
            <a:solidFill>
              <a:srgbClr val="FF0000"/>
            </a:solidFill>
          </a:endParaRPr>
        </a:p>
      </xdr:txBody>
    </xdr:sp>
    <xdr:clientData/>
  </xdr:twoCellAnchor>
  <xdr:twoCellAnchor>
    <xdr:from>
      <xdr:col>0</xdr:col>
      <xdr:colOff>57149</xdr:colOff>
      <xdr:row>12</xdr:row>
      <xdr:rowOff>28575</xdr:rowOff>
    </xdr:from>
    <xdr:to>
      <xdr:col>0</xdr:col>
      <xdr:colOff>1990724</xdr:colOff>
      <xdr:row>12</xdr:row>
      <xdr:rowOff>171450</xdr:rowOff>
    </xdr:to>
    <xdr:sp macro="" textlink="">
      <xdr:nvSpPr>
        <xdr:cNvPr id="61" name="Seta: Pentágono 60">
          <a:hlinkClick xmlns:r="http://schemas.openxmlformats.org/officeDocument/2006/relationships" r:id="rId10"/>
          <a:extLst>
            <a:ext uri="{FF2B5EF4-FFF2-40B4-BE49-F238E27FC236}">
              <a16:creationId xmlns:a16="http://schemas.microsoft.com/office/drawing/2014/main" id="{00000000-0008-0000-0100-00003D000000}"/>
            </a:ext>
          </a:extLst>
        </xdr:cNvPr>
        <xdr:cNvSpPr/>
      </xdr:nvSpPr>
      <xdr:spPr>
        <a:xfrm>
          <a:off x="57149" y="274320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DIREITO CONST</a:t>
          </a:r>
        </a:p>
      </xdr:txBody>
    </xdr:sp>
    <xdr:clientData/>
  </xdr:twoCellAnchor>
  <xdr:twoCellAnchor>
    <xdr:from>
      <xdr:col>0</xdr:col>
      <xdr:colOff>57149</xdr:colOff>
      <xdr:row>13</xdr:row>
      <xdr:rowOff>28575</xdr:rowOff>
    </xdr:from>
    <xdr:to>
      <xdr:col>0</xdr:col>
      <xdr:colOff>1990724</xdr:colOff>
      <xdr:row>13</xdr:row>
      <xdr:rowOff>171450</xdr:rowOff>
    </xdr:to>
    <xdr:sp macro="" textlink="">
      <xdr:nvSpPr>
        <xdr:cNvPr id="62" name="Seta: Pentágono 61">
          <a:hlinkClick xmlns:r="http://schemas.openxmlformats.org/officeDocument/2006/relationships" r:id="rId11"/>
          <a:extLst>
            <a:ext uri="{FF2B5EF4-FFF2-40B4-BE49-F238E27FC236}">
              <a16:creationId xmlns:a16="http://schemas.microsoft.com/office/drawing/2014/main" id="{00000000-0008-0000-0100-00003E000000}"/>
            </a:ext>
          </a:extLst>
        </xdr:cNvPr>
        <xdr:cNvSpPr/>
      </xdr:nvSpPr>
      <xdr:spPr>
        <a:xfrm>
          <a:off x="57149" y="295275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EXTRAVAGANTE</a:t>
          </a:r>
        </a:p>
      </xdr:txBody>
    </xdr:sp>
    <xdr:clientData/>
  </xdr:twoCellAnchor>
  <xdr:twoCellAnchor>
    <xdr:from>
      <xdr:col>0</xdr:col>
      <xdr:colOff>47624</xdr:colOff>
      <xdr:row>14</xdr:row>
      <xdr:rowOff>38100</xdr:rowOff>
    </xdr:from>
    <xdr:to>
      <xdr:col>0</xdr:col>
      <xdr:colOff>1981199</xdr:colOff>
      <xdr:row>14</xdr:row>
      <xdr:rowOff>180975</xdr:rowOff>
    </xdr:to>
    <xdr:sp macro="" textlink="">
      <xdr:nvSpPr>
        <xdr:cNvPr id="63" name="Seta: Pentágono 62">
          <a:hlinkClick xmlns:r="http://schemas.openxmlformats.org/officeDocument/2006/relationships" r:id="rId12"/>
          <a:extLst>
            <a:ext uri="{FF2B5EF4-FFF2-40B4-BE49-F238E27FC236}">
              <a16:creationId xmlns:a16="http://schemas.microsoft.com/office/drawing/2014/main" id="{00000000-0008-0000-0100-00003F000000}"/>
            </a:ext>
          </a:extLst>
        </xdr:cNvPr>
        <xdr:cNvSpPr/>
      </xdr:nvSpPr>
      <xdr:spPr>
        <a:xfrm>
          <a:off x="47624" y="3152775"/>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ÉTICA</a:t>
          </a:r>
        </a:p>
      </xdr:txBody>
    </xdr:sp>
    <xdr:clientData/>
  </xdr:twoCellAnchor>
  <xdr:twoCellAnchor>
    <xdr:from>
      <xdr:col>0</xdr:col>
      <xdr:colOff>47624</xdr:colOff>
      <xdr:row>15</xdr:row>
      <xdr:rowOff>38100</xdr:rowOff>
    </xdr:from>
    <xdr:to>
      <xdr:col>0</xdr:col>
      <xdr:colOff>1981199</xdr:colOff>
      <xdr:row>15</xdr:row>
      <xdr:rowOff>180975</xdr:rowOff>
    </xdr:to>
    <xdr:sp macro="" textlink="">
      <xdr:nvSpPr>
        <xdr:cNvPr id="64" name="Seta: Pentágono 63">
          <a:extLst>
            <a:ext uri="{FF2B5EF4-FFF2-40B4-BE49-F238E27FC236}">
              <a16:creationId xmlns:a16="http://schemas.microsoft.com/office/drawing/2014/main" id="{00000000-0008-0000-0100-000040000000}"/>
            </a:ext>
          </a:extLst>
        </xdr:cNvPr>
        <xdr:cNvSpPr/>
      </xdr:nvSpPr>
      <xdr:spPr>
        <a:xfrm>
          <a:off x="47624" y="335280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XX</a:t>
          </a:r>
          <a:r>
            <a:rPr lang="pt-BR" sz="1100" baseline="0">
              <a:solidFill>
                <a:schemeClr val="bg1"/>
              </a:solidFill>
            </a:rPr>
            <a:t>  XX  XX  XX  XX</a:t>
          </a:r>
          <a:endParaRPr lang="pt-BR" sz="1100">
            <a:solidFill>
              <a:schemeClr val="bg1"/>
            </a:solidFill>
          </a:endParaRPr>
        </a:p>
      </xdr:txBody>
    </xdr:sp>
    <xdr:clientData/>
  </xdr:twoCellAnchor>
  <xdr:twoCellAnchor>
    <xdr:from>
      <xdr:col>0</xdr:col>
      <xdr:colOff>57149</xdr:colOff>
      <xdr:row>16</xdr:row>
      <xdr:rowOff>38100</xdr:rowOff>
    </xdr:from>
    <xdr:to>
      <xdr:col>0</xdr:col>
      <xdr:colOff>1990724</xdr:colOff>
      <xdr:row>16</xdr:row>
      <xdr:rowOff>180975</xdr:rowOff>
    </xdr:to>
    <xdr:sp macro="" textlink="">
      <xdr:nvSpPr>
        <xdr:cNvPr id="65" name="Seta: Pentágono 64">
          <a:extLst>
            <a:ext uri="{FF2B5EF4-FFF2-40B4-BE49-F238E27FC236}">
              <a16:creationId xmlns:a16="http://schemas.microsoft.com/office/drawing/2014/main" id="{00000000-0008-0000-0100-000041000000}"/>
            </a:ext>
          </a:extLst>
        </xdr:cNvPr>
        <xdr:cNvSpPr/>
      </xdr:nvSpPr>
      <xdr:spPr>
        <a:xfrm>
          <a:off x="57149" y="3552825"/>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XX</a:t>
          </a:r>
          <a:r>
            <a:rPr lang="pt-BR" sz="1100" baseline="0">
              <a:solidFill>
                <a:schemeClr val="bg1"/>
              </a:solidFill>
            </a:rPr>
            <a:t>  XX  XX  XX  XX</a:t>
          </a:r>
          <a:endParaRPr lang="pt-BR" sz="1100">
            <a:solidFill>
              <a:schemeClr val="bg1"/>
            </a:solidFill>
          </a:endParaRPr>
        </a:p>
      </xdr:txBody>
    </xdr:sp>
    <xdr:clientData/>
  </xdr:twoCellAnchor>
  <xdr:twoCellAnchor>
    <xdr:from>
      <xdr:col>0</xdr:col>
      <xdr:colOff>57149</xdr:colOff>
      <xdr:row>17</xdr:row>
      <xdr:rowOff>38100</xdr:rowOff>
    </xdr:from>
    <xdr:to>
      <xdr:col>0</xdr:col>
      <xdr:colOff>1990724</xdr:colOff>
      <xdr:row>17</xdr:row>
      <xdr:rowOff>180975</xdr:rowOff>
    </xdr:to>
    <xdr:sp macro="" textlink="">
      <xdr:nvSpPr>
        <xdr:cNvPr id="66" name="Seta: Pentágono 65">
          <a:extLst>
            <a:ext uri="{FF2B5EF4-FFF2-40B4-BE49-F238E27FC236}">
              <a16:creationId xmlns:a16="http://schemas.microsoft.com/office/drawing/2014/main" id="{00000000-0008-0000-0100-000042000000}"/>
            </a:ext>
          </a:extLst>
        </xdr:cNvPr>
        <xdr:cNvSpPr/>
      </xdr:nvSpPr>
      <xdr:spPr>
        <a:xfrm>
          <a:off x="57149" y="375285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XX</a:t>
          </a:r>
          <a:r>
            <a:rPr lang="pt-BR" sz="1100" baseline="0">
              <a:solidFill>
                <a:schemeClr val="bg1"/>
              </a:solidFill>
            </a:rPr>
            <a:t>  XX  XX  XX  XX</a:t>
          </a:r>
          <a:endParaRPr lang="pt-BR" sz="1100">
            <a:solidFill>
              <a:schemeClr val="bg1"/>
            </a:solidFill>
          </a:endParaRPr>
        </a:p>
      </xdr:txBody>
    </xdr:sp>
    <xdr:clientData/>
  </xdr:twoCellAnchor>
  <xdr:twoCellAnchor>
    <xdr:from>
      <xdr:col>0</xdr:col>
      <xdr:colOff>57149</xdr:colOff>
      <xdr:row>18</xdr:row>
      <xdr:rowOff>28575</xdr:rowOff>
    </xdr:from>
    <xdr:to>
      <xdr:col>0</xdr:col>
      <xdr:colOff>1990724</xdr:colOff>
      <xdr:row>18</xdr:row>
      <xdr:rowOff>171450</xdr:rowOff>
    </xdr:to>
    <xdr:sp macro="" textlink="">
      <xdr:nvSpPr>
        <xdr:cNvPr id="67" name="Seta: Pentágono 66">
          <a:extLst>
            <a:ext uri="{FF2B5EF4-FFF2-40B4-BE49-F238E27FC236}">
              <a16:creationId xmlns:a16="http://schemas.microsoft.com/office/drawing/2014/main" id="{00000000-0008-0000-0100-000043000000}"/>
            </a:ext>
          </a:extLst>
        </xdr:cNvPr>
        <xdr:cNvSpPr/>
      </xdr:nvSpPr>
      <xdr:spPr>
        <a:xfrm>
          <a:off x="57149" y="3943350"/>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XX</a:t>
          </a:r>
          <a:r>
            <a:rPr lang="pt-BR" sz="1100" baseline="0">
              <a:solidFill>
                <a:schemeClr val="bg1"/>
              </a:solidFill>
            </a:rPr>
            <a:t>  XX  XX  XX  XX</a:t>
          </a:r>
          <a:endParaRPr lang="pt-BR" sz="1100">
            <a:solidFill>
              <a:schemeClr val="bg1"/>
            </a:solidFill>
          </a:endParaRPr>
        </a:p>
      </xdr:txBody>
    </xdr:sp>
    <xdr:clientData/>
  </xdr:twoCellAnchor>
  <xdr:twoCellAnchor>
    <xdr:from>
      <xdr:col>0</xdr:col>
      <xdr:colOff>57149</xdr:colOff>
      <xdr:row>19</xdr:row>
      <xdr:rowOff>28575</xdr:rowOff>
    </xdr:from>
    <xdr:to>
      <xdr:col>0</xdr:col>
      <xdr:colOff>1990724</xdr:colOff>
      <xdr:row>19</xdr:row>
      <xdr:rowOff>171450</xdr:rowOff>
    </xdr:to>
    <xdr:sp macro="" textlink="">
      <xdr:nvSpPr>
        <xdr:cNvPr id="68" name="Seta: Pentágono 67">
          <a:extLst>
            <a:ext uri="{FF2B5EF4-FFF2-40B4-BE49-F238E27FC236}">
              <a16:creationId xmlns:a16="http://schemas.microsoft.com/office/drawing/2014/main" id="{00000000-0008-0000-0100-000044000000}"/>
            </a:ext>
          </a:extLst>
        </xdr:cNvPr>
        <xdr:cNvSpPr/>
      </xdr:nvSpPr>
      <xdr:spPr>
        <a:xfrm>
          <a:off x="57149" y="4143375"/>
          <a:ext cx="193357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XX</a:t>
          </a:r>
          <a:r>
            <a:rPr lang="pt-BR" sz="1100" baseline="0">
              <a:solidFill>
                <a:schemeClr val="bg1"/>
              </a:solidFill>
            </a:rPr>
            <a:t>  XX  XX  XX  XX</a:t>
          </a:r>
          <a:endParaRPr lang="pt-BR" sz="1100">
            <a:solidFill>
              <a:schemeClr val="bg1"/>
            </a:solidFill>
          </a:endParaRPr>
        </a:p>
      </xdr:txBody>
    </xdr:sp>
    <xdr:clientData/>
  </xdr:twoCellAnchor>
  <xdr:twoCellAnchor editAs="oneCell">
    <xdr:from>
      <xdr:col>0</xdr:col>
      <xdr:colOff>180976</xdr:colOff>
      <xdr:row>0</xdr:row>
      <xdr:rowOff>1</xdr:rowOff>
    </xdr:from>
    <xdr:to>
      <xdr:col>0</xdr:col>
      <xdr:colOff>676276</xdr:colOff>
      <xdr:row>0</xdr:row>
      <xdr:rowOff>495301</xdr:rowOff>
    </xdr:to>
    <xdr:pic>
      <xdr:nvPicPr>
        <xdr:cNvPr id="2" name="Gráfico 1" descr="Casa com preenchimento sólido">
          <a:hlinkClick xmlns:r="http://schemas.openxmlformats.org/officeDocument/2006/relationships" r:id="rId13"/>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80976" y="1"/>
          <a:ext cx="495300" cy="495300"/>
        </a:xfrm>
        <a:prstGeom prst="rect">
          <a:avLst/>
        </a:prstGeom>
      </xdr:spPr>
    </xdr:pic>
    <xdr:clientData/>
  </xdr:twoCellAnchor>
  <xdr:twoCellAnchor>
    <xdr:from>
      <xdr:col>0</xdr:col>
      <xdr:colOff>57149</xdr:colOff>
      <xdr:row>14</xdr:row>
      <xdr:rowOff>28575</xdr:rowOff>
    </xdr:from>
    <xdr:to>
      <xdr:col>0</xdr:col>
      <xdr:colOff>1990724</xdr:colOff>
      <xdr:row>14</xdr:row>
      <xdr:rowOff>171450</xdr:rowOff>
    </xdr:to>
    <xdr:sp macro="" textlink="">
      <xdr:nvSpPr>
        <xdr:cNvPr id="8" name="Seta: Pentágono 7">
          <a:hlinkClick xmlns:r="http://schemas.openxmlformats.org/officeDocument/2006/relationships" r:id="rId16"/>
          <a:extLst>
            <a:ext uri="{FF2B5EF4-FFF2-40B4-BE49-F238E27FC236}">
              <a16:creationId xmlns:a16="http://schemas.microsoft.com/office/drawing/2014/main" id="{00000000-0008-0000-0100-000008000000}"/>
            </a:ext>
          </a:extLst>
        </xdr:cNvPr>
        <xdr:cNvSpPr/>
      </xdr:nvSpPr>
      <xdr:spPr>
        <a:xfrm>
          <a:off x="57149" y="2916555"/>
          <a:ext cx="1880235" cy="14287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ÉTICA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155576</xdr:colOff>
      <xdr:row>1</xdr:row>
      <xdr:rowOff>131233</xdr:rowOff>
    </xdr:from>
    <xdr:to>
      <xdr:col>18</xdr:col>
      <xdr:colOff>88901</xdr:colOff>
      <xdr:row>4</xdr:row>
      <xdr:rowOff>102658</xdr:rowOff>
    </xdr:to>
    <xdr:pic>
      <xdr:nvPicPr>
        <xdr:cNvPr id="3" name="Gráfico 2" descr="Documento com preenchimento sólido">
          <a:hlinkClick xmlns:r="http://schemas.openxmlformats.org/officeDocument/2006/relationships" r:id="rId1"/>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030076" y="459316"/>
          <a:ext cx="631825" cy="511175"/>
        </a:xfrm>
        <a:prstGeom prst="rect">
          <a:avLst/>
        </a:prstGeom>
      </xdr:spPr>
    </xdr:pic>
    <xdr:clientData/>
  </xdr:twoCellAnchor>
  <xdr:twoCellAnchor>
    <xdr:from>
      <xdr:col>3</xdr:col>
      <xdr:colOff>447675</xdr:colOff>
      <xdr:row>15</xdr:row>
      <xdr:rowOff>171449</xdr:rowOff>
    </xdr:from>
    <xdr:to>
      <xdr:col>5</xdr:col>
      <xdr:colOff>333375</xdr:colOff>
      <xdr:row>17</xdr:row>
      <xdr:rowOff>28574</xdr:rowOff>
    </xdr:to>
    <xdr:sp macro="" textlink="">
      <xdr:nvSpPr>
        <xdr:cNvPr id="6" name="Seta: Pentágono 5">
          <a:extLst>
            <a:ext uri="{FF2B5EF4-FFF2-40B4-BE49-F238E27FC236}">
              <a16:creationId xmlns:a16="http://schemas.microsoft.com/office/drawing/2014/main" id="{00000000-0008-0000-0200-000006000000}"/>
            </a:ext>
          </a:extLst>
        </xdr:cNvPr>
        <xdr:cNvSpPr/>
      </xdr:nvSpPr>
      <xdr:spPr>
        <a:xfrm>
          <a:off x="2276475" y="3028949"/>
          <a:ext cx="1104900" cy="23812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DESEMPENHO</a:t>
          </a:r>
        </a:p>
        <a:p>
          <a:pPr algn="l"/>
          <a:endParaRPr lang="pt-BR" sz="1100">
            <a:solidFill>
              <a:schemeClr val="bg1"/>
            </a:solidFill>
          </a:endParaRPr>
        </a:p>
        <a:p>
          <a:pPr algn="l"/>
          <a:endParaRPr lang="pt-BR" sz="1100">
            <a:solidFill>
              <a:schemeClr val="bg1"/>
            </a:solidFill>
          </a:endParaRPr>
        </a:p>
      </xdr:txBody>
    </xdr:sp>
    <xdr:clientData/>
  </xdr:twoCellAnchor>
  <xdr:twoCellAnchor>
    <xdr:from>
      <xdr:col>0</xdr:col>
      <xdr:colOff>200025</xdr:colOff>
      <xdr:row>2</xdr:row>
      <xdr:rowOff>28574</xdr:rowOff>
    </xdr:from>
    <xdr:to>
      <xdr:col>2</xdr:col>
      <xdr:colOff>85725</xdr:colOff>
      <xdr:row>3</xdr:row>
      <xdr:rowOff>76199</xdr:rowOff>
    </xdr:to>
    <xdr:sp macro="" textlink="">
      <xdr:nvSpPr>
        <xdr:cNvPr id="13" name="Seta: Pentágono 12">
          <a:extLst>
            <a:ext uri="{FF2B5EF4-FFF2-40B4-BE49-F238E27FC236}">
              <a16:creationId xmlns:a16="http://schemas.microsoft.com/office/drawing/2014/main" id="{00000000-0008-0000-0200-00000D000000}"/>
            </a:ext>
          </a:extLst>
        </xdr:cNvPr>
        <xdr:cNvSpPr/>
      </xdr:nvSpPr>
      <xdr:spPr>
        <a:xfrm>
          <a:off x="200025" y="409574"/>
          <a:ext cx="1104900" cy="23812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CRONOGRAMA</a:t>
          </a:r>
        </a:p>
        <a:p>
          <a:pPr algn="ctr"/>
          <a:endParaRPr lang="pt-BR" sz="1100">
            <a:solidFill>
              <a:schemeClr val="bg1"/>
            </a:solidFill>
          </a:endParaRPr>
        </a:p>
        <a:p>
          <a:pPr algn="ctr"/>
          <a:endParaRPr lang="pt-BR" sz="1100">
            <a:solidFill>
              <a:schemeClr val="bg1"/>
            </a:solidFill>
          </a:endParaRPr>
        </a:p>
      </xdr:txBody>
    </xdr:sp>
    <xdr:clientData/>
  </xdr:twoCellAnchor>
  <xdr:twoCellAnchor>
    <xdr:from>
      <xdr:col>1</xdr:col>
      <xdr:colOff>276225</xdr:colOff>
      <xdr:row>6</xdr:row>
      <xdr:rowOff>28574</xdr:rowOff>
    </xdr:from>
    <xdr:to>
      <xdr:col>3</xdr:col>
      <xdr:colOff>161925</xdr:colOff>
      <xdr:row>7</xdr:row>
      <xdr:rowOff>76199</xdr:rowOff>
    </xdr:to>
    <xdr:sp macro="" textlink="">
      <xdr:nvSpPr>
        <xdr:cNvPr id="14" name="Seta: Pentágono 13">
          <a:extLst>
            <a:ext uri="{FF2B5EF4-FFF2-40B4-BE49-F238E27FC236}">
              <a16:creationId xmlns:a16="http://schemas.microsoft.com/office/drawing/2014/main" id="{00000000-0008-0000-0200-00000E000000}"/>
            </a:ext>
          </a:extLst>
        </xdr:cNvPr>
        <xdr:cNvSpPr/>
      </xdr:nvSpPr>
      <xdr:spPr>
        <a:xfrm>
          <a:off x="885825" y="1171574"/>
          <a:ext cx="1104900" cy="23812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ESTUDOS</a:t>
          </a:r>
        </a:p>
        <a:p>
          <a:pPr algn="l"/>
          <a:endParaRPr lang="pt-BR" sz="1100">
            <a:solidFill>
              <a:schemeClr val="bg1"/>
            </a:solidFill>
          </a:endParaRPr>
        </a:p>
        <a:p>
          <a:pPr algn="l"/>
          <a:endParaRPr lang="pt-BR" sz="1100">
            <a:solidFill>
              <a:schemeClr val="bg1"/>
            </a:solidFill>
          </a:endParaRPr>
        </a:p>
        <a:p>
          <a:pPr algn="l"/>
          <a:endParaRPr lang="pt-BR" sz="1100">
            <a:solidFill>
              <a:schemeClr val="bg1"/>
            </a:solidFill>
          </a:endParaRPr>
        </a:p>
      </xdr:txBody>
    </xdr:sp>
    <xdr:clientData/>
  </xdr:twoCellAnchor>
  <xdr:twoCellAnchor>
    <xdr:from>
      <xdr:col>2</xdr:col>
      <xdr:colOff>323850</xdr:colOff>
      <xdr:row>10</xdr:row>
      <xdr:rowOff>133349</xdr:rowOff>
    </xdr:from>
    <xdr:to>
      <xdr:col>4</xdr:col>
      <xdr:colOff>209550</xdr:colOff>
      <xdr:row>11</xdr:row>
      <xdr:rowOff>180974</xdr:rowOff>
    </xdr:to>
    <xdr:sp macro="" textlink="">
      <xdr:nvSpPr>
        <xdr:cNvPr id="15" name="Seta: Pentágono 14">
          <a:extLst>
            <a:ext uri="{FF2B5EF4-FFF2-40B4-BE49-F238E27FC236}">
              <a16:creationId xmlns:a16="http://schemas.microsoft.com/office/drawing/2014/main" id="{00000000-0008-0000-0200-00000F000000}"/>
            </a:ext>
          </a:extLst>
        </xdr:cNvPr>
        <xdr:cNvSpPr/>
      </xdr:nvSpPr>
      <xdr:spPr>
        <a:xfrm>
          <a:off x="1543050" y="2038349"/>
          <a:ext cx="1104900" cy="238125"/>
        </a:xfrm>
        <a:prstGeom prst="homePlate">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solidFill>
                <a:schemeClr val="bg1"/>
              </a:solidFill>
            </a:rPr>
            <a:t>AGENDA</a:t>
          </a:r>
        </a:p>
        <a:p>
          <a:pPr algn="ctr"/>
          <a:endParaRPr lang="pt-BR" sz="1100">
            <a:solidFill>
              <a:schemeClr val="bg1"/>
            </a:solidFill>
          </a:endParaRPr>
        </a:p>
        <a:p>
          <a:pPr algn="ctr"/>
          <a:endParaRPr lang="pt-BR" sz="1100">
            <a:solidFill>
              <a:schemeClr val="bg1"/>
            </a:solidFill>
          </a:endParaRPr>
        </a:p>
      </xdr:txBody>
    </xdr:sp>
    <xdr:clientData/>
  </xdr:twoCellAnchor>
  <xdr:twoCellAnchor editAs="oneCell">
    <xdr:from>
      <xdr:col>3</xdr:col>
      <xdr:colOff>304800</xdr:colOff>
      <xdr:row>5</xdr:row>
      <xdr:rowOff>0</xdr:rowOff>
    </xdr:from>
    <xdr:to>
      <xdr:col>4</xdr:col>
      <xdr:colOff>323850</xdr:colOff>
      <xdr:row>8</xdr:row>
      <xdr:rowOff>57150</xdr:rowOff>
    </xdr:to>
    <xdr:pic>
      <xdr:nvPicPr>
        <xdr:cNvPr id="20" name="Gráfico 19" descr="Livros na prateleira com preenchimento sólido">
          <a:hlinkClick xmlns:r="http://schemas.openxmlformats.org/officeDocument/2006/relationships" r:id="rId4"/>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33600" y="952500"/>
          <a:ext cx="628650" cy="628650"/>
        </a:xfrm>
        <a:prstGeom prst="rect">
          <a:avLst/>
        </a:prstGeom>
      </xdr:spPr>
    </xdr:pic>
    <xdr:clientData/>
  </xdr:twoCellAnchor>
  <xdr:twoCellAnchor editAs="oneCell">
    <xdr:from>
      <xdr:col>4</xdr:col>
      <xdr:colOff>333375</xdr:colOff>
      <xdr:row>9</xdr:row>
      <xdr:rowOff>104775</xdr:rowOff>
    </xdr:from>
    <xdr:to>
      <xdr:col>5</xdr:col>
      <xdr:colOff>371475</xdr:colOff>
      <xdr:row>13</xdr:row>
      <xdr:rowOff>1059</xdr:rowOff>
    </xdr:to>
    <xdr:pic>
      <xdr:nvPicPr>
        <xdr:cNvPr id="22" name="Gráfico 21" descr="Área de Transferência Parcialmente Marcada com preenchimento sólido">
          <a:hlinkClick xmlns:r="http://schemas.openxmlformats.org/officeDocument/2006/relationships" r:id="rId7"/>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771775" y="1819275"/>
          <a:ext cx="647700" cy="647700"/>
        </a:xfrm>
        <a:prstGeom prst="rect">
          <a:avLst/>
        </a:prstGeom>
      </xdr:spPr>
    </xdr:pic>
    <xdr:clientData/>
  </xdr:twoCellAnchor>
  <xdr:twoCellAnchor editAs="oneCell">
    <xdr:from>
      <xdr:col>5</xdr:col>
      <xdr:colOff>428625</xdr:colOff>
      <xdr:row>14</xdr:row>
      <xdr:rowOff>171450</xdr:rowOff>
    </xdr:from>
    <xdr:to>
      <xdr:col>6</xdr:col>
      <xdr:colOff>400050</xdr:colOff>
      <xdr:row>17</xdr:row>
      <xdr:rowOff>180975</xdr:rowOff>
    </xdr:to>
    <xdr:pic>
      <xdr:nvPicPr>
        <xdr:cNvPr id="24" name="Gráfico 23" descr="Tendência ascendente com preenchimento sólido">
          <a:hlinkClick xmlns:r="http://schemas.openxmlformats.org/officeDocument/2006/relationships" r:id="rId10"/>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476625" y="2838450"/>
          <a:ext cx="581025" cy="581025"/>
        </a:xfrm>
        <a:prstGeom prst="rect">
          <a:avLst/>
        </a:prstGeom>
      </xdr:spPr>
    </xdr:pic>
    <xdr:clientData/>
  </xdr:twoCellAnchor>
  <xdr:twoCellAnchor editAs="oneCell">
    <xdr:from>
      <xdr:col>6</xdr:col>
      <xdr:colOff>514350</xdr:colOff>
      <xdr:row>3</xdr:row>
      <xdr:rowOff>9525</xdr:rowOff>
    </xdr:from>
    <xdr:to>
      <xdr:col>7</xdr:col>
      <xdr:colOff>523875</xdr:colOff>
      <xdr:row>6</xdr:row>
      <xdr:rowOff>57150</xdr:rowOff>
    </xdr:to>
    <xdr:pic>
      <xdr:nvPicPr>
        <xdr:cNvPr id="4" name="Gráfico 3" descr="Policial homem com preenchimento sólid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171950" y="714375"/>
          <a:ext cx="619125" cy="619125"/>
        </a:xfrm>
        <a:prstGeom prst="rect">
          <a:avLst/>
        </a:prstGeom>
      </xdr:spPr>
    </xdr:pic>
    <xdr:clientData/>
  </xdr:twoCellAnchor>
  <xdr:twoCellAnchor>
    <xdr:from>
      <xdr:col>8</xdr:col>
      <xdr:colOff>9526</xdr:colOff>
      <xdr:row>1</xdr:row>
      <xdr:rowOff>180974</xdr:rowOff>
    </xdr:from>
    <xdr:to>
      <xdr:col>15</xdr:col>
      <xdr:colOff>200026</xdr:colOff>
      <xdr:row>9</xdr:row>
      <xdr:rowOff>114299</xdr:rowOff>
    </xdr:to>
    <xdr:sp macro="" textlink="">
      <xdr:nvSpPr>
        <xdr:cNvPr id="8" name="Retângulo: Cantos Arredondados 7">
          <a:extLst>
            <a:ext uri="{FF2B5EF4-FFF2-40B4-BE49-F238E27FC236}">
              <a16:creationId xmlns:a16="http://schemas.microsoft.com/office/drawing/2014/main" id="{00000000-0008-0000-0200-000008000000}"/>
            </a:ext>
          </a:extLst>
        </xdr:cNvPr>
        <xdr:cNvSpPr/>
      </xdr:nvSpPr>
      <xdr:spPr>
        <a:xfrm>
          <a:off x="4886326" y="504824"/>
          <a:ext cx="4457700" cy="1457325"/>
        </a:xfrm>
        <a:prstGeom prst="round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r>
            <a:rPr lang="pt-BR" sz="5400">
              <a:solidFill>
                <a:sysClr val="windowText" lastClr="000000"/>
              </a:solidFill>
              <a:latin typeface="Bahnschrift Light SemiCondensed" panose="020B0502040204020203" pitchFamily="34" charset="0"/>
            </a:rPr>
            <a:t>POLÍCIA PENAL</a:t>
          </a:r>
        </a:p>
      </xdr:txBody>
    </xdr:sp>
    <xdr:clientData/>
  </xdr:twoCellAnchor>
  <xdr:twoCellAnchor editAs="oneCell">
    <xdr:from>
      <xdr:col>7</xdr:col>
      <xdr:colOff>19050</xdr:colOff>
      <xdr:row>7</xdr:row>
      <xdr:rowOff>9525</xdr:rowOff>
    </xdr:from>
    <xdr:to>
      <xdr:col>9</xdr:col>
      <xdr:colOff>28576</xdr:colOff>
      <xdr:row>13</xdr:row>
      <xdr:rowOff>95251</xdr:rowOff>
    </xdr:to>
    <xdr:pic>
      <xdr:nvPicPr>
        <xdr:cNvPr id="7" name="Gráfico 6" descr="Livros estrutura de tópicos">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4286250" y="1476375"/>
          <a:ext cx="1228726" cy="1228726"/>
        </a:xfrm>
        <a:prstGeom prst="rect">
          <a:avLst/>
        </a:prstGeom>
      </xdr:spPr>
    </xdr:pic>
    <xdr:clientData/>
  </xdr:twoCellAnchor>
  <xdr:twoCellAnchor editAs="oneCell">
    <xdr:from>
      <xdr:col>11</xdr:col>
      <xdr:colOff>161924</xdr:colOff>
      <xdr:row>10</xdr:row>
      <xdr:rowOff>85725</xdr:rowOff>
    </xdr:from>
    <xdr:to>
      <xdr:col>13</xdr:col>
      <xdr:colOff>95249</xdr:colOff>
      <xdr:row>16</xdr:row>
      <xdr:rowOff>95250</xdr:rowOff>
    </xdr:to>
    <xdr:pic>
      <xdr:nvPicPr>
        <xdr:cNvPr id="9" name="Gráfico 8" descr="Livros estrutura de tópicos">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867524" y="2124075"/>
          <a:ext cx="1152525" cy="1152525"/>
        </a:xfrm>
        <a:prstGeom prst="rect">
          <a:avLst/>
        </a:prstGeom>
      </xdr:spPr>
    </xdr:pic>
    <xdr:clientData/>
  </xdr:twoCellAnchor>
  <xdr:twoCellAnchor>
    <xdr:from>
      <xdr:col>15</xdr:col>
      <xdr:colOff>95250</xdr:colOff>
      <xdr:row>10</xdr:row>
      <xdr:rowOff>171450</xdr:rowOff>
    </xdr:from>
    <xdr:to>
      <xdr:col>17</xdr:col>
      <xdr:colOff>266700</xdr:colOff>
      <xdr:row>12</xdr:row>
      <xdr:rowOff>152400</xdr:rowOff>
    </xdr:to>
    <xdr:sp macro="" textlink="">
      <xdr:nvSpPr>
        <xdr:cNvPr id="2" name="Retângulo: Cantos Arredondados 1">
          <a:extLst>
            <a:ext uri="{FF2B5EF4-FFF2-40B4-BE49-F238E27FC236}">
              <a16:creationId xmlns:a16="http://schemas.microsoft.com/office/drawing/2014/main" id="{00000000-0008-0000-0200-000002000000}"/>
            </a:ext>
          </a:extLst>
        </xdr:cNvPr>
        <xdr:cNvSpPr/>
      </xdr:nvSpPr>
      <xdr:spPr>
        <a:xfrm>
          <a:off x="9239250" y="2209800"/>
          <a:ext cx="1390650" cy="36195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pt-BR" sz="1100"/>
            <a:t>DATA DA PROVA </a:t>
          </a:r>
        </a:p>
      </xdr:txBody>
    </xdr:sp>
    <xdr:clientData/>
  </xdr:twoCellAnchor>
  <xdr:twoCellAnchor>
    <xdr:from>
      <xdr:col>17</xdr:col>
      <xdr:colOff>47625</xdr:colOff>
      <xdr:row>11</xdr:row>
      <xdr:rowOff>47625</xdr:rowOff>
    </xdr:from>
    <xdr:to>
      <xdr:col>17</xdr:col>
      <xdr:colOff>209550</xdr:colOff>
      <xdr:row>12</xdr:row>
      <xdr:rowOff>57150</xdr:rowOff>
    </xdr:to>
    <xdr:sp macro="" textlink="">
      <xdr:nvSpPr>
        <xdr:cNvPr id="5" name="Seta: para Baixo 4">
          <a:extLst>
            <a:ext uri="{FF2B5EF4-FFF2-40B4-BE49-F238E27FC236}">
              <a16:creationId xmlns:a16="http://schemas.microsoft.com/office/drawing/2014/main" id="{00000000-0008-0000-0200-000005000000}"/>
            </a:ext>
          </a:extLst>
        </xdr:cNvPr>
        <xdr:cNvSpPr/>
      </xdr:nvSpPr>
      <xdr:spPr>
        <a:xfrm>
          <a:off x="10410825" y="2276475"/>
          <a:ext cx="161925" cy="200025"/>
        </a:xfrm>
        <a:prstGeom prst="down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16</xdr:col>
      <xdr:colOff>304800</xdr:colOff>
      <xdr:row>14</xdr:row>
      <xdr:rowOff>95250</xdr:rowOff>
    </xdr:from>
    <xdr:to>
      <xdr:col>18</xdr:col>
      <xdr:colOff>561975</xdr:colOff>
      <xdr:row>16</xdr:row>
      <xdr:rowOff>76200</xdr:rowOff>
    </xdr:to>
    <xdr:sp macro="" textlink="">
      <xdr:nvSpPr>
        <xdr:cNvPr id="10" name="Retângulo: Cantos Arredondados 9">
          <a:extLst>
            <a:ext uri="{FF2B5EF4-FFF2-40B4-BE49-F238E27FC236}">
              <a16:creationId xmlns:a16="http://schemas.microsoft.com/office/drawing/2014/main" id="{00000000-0008-0000-0200-00000A000000}"/>
            </a:ext>
          </a:extLst>
        </xdr:cNvPr>
        <xdr:cNvSpPr/>
      </xdr:nvSpPr>
      <xdr:spPr>
        <a:xfrm>
          <a:off x="10058400" y="2895600"/>
          <a:ext cx="1476375" cy="36195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pt-BR" sz="1100"/>
            <a:t>   DIAS</a:t>
          </a:r>
          <a:r>
            <a:rPr lang="pt-BR" sz="1100" baseline="0"/>
            <a:t> RESTANTES</a:t>
          </a:r>
          <a:endParaRPr lang="pt-BR" sz="1100"/>
        </a:p>
      </xdr:txBody>
    </xdr:sp>
    <xdr:clientData/>
  </xdr:twoCellAnchor>
  <xdr:twoCellAnchor>
    <xdr:from>
      <xdr:col>16</xdr:col>
      <xdr:colOff>419100</xdr:colOff>
      <xdr:row>14</xdr:row>
      <xdr:rowOff>171450</xdr:rowOff>
    </xdr:from>
    <xdr:to>
      <xdr:col>16</xdr:col>
      <xdr:colOff>581025</xdr:colOff>
      <xdr:row>15</xdr:row>
      <xdr:rowOff>180975</xdr:rowOff>
    </xdr:to>
    <xdr:sp macro="" textlink="">
      <xdr:nvSpPr>
        <xdr:cNvPr id="11" name="Seta: para Baixo 10">
          <a:extLst>
            <a:ext uri="{FF2B5EF4-FFF2-40B4-BE49-F238E27FC236}">
              <a16:creationId xmlns:a16="http://schemas.microsoft.com/office/drawing/2014/main" id="{00000000-0008-0000-0200-00000B000000}"/>
            </a:ext>
          </a:extLst>
        </xdr:cNvPr>
        <xdr:cNvSpPr/>
      </xdr:nvSpPr>
      <xdr:spPr>
        <a:xfrm>
          <a:off x="10172700" y="2971800"/>
          <a:ext cx="161925" cy="200025"/>
        </a:xfrm>
        <a:prstGeom prst="downArrow">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14</xdr:col>
      <xdr:colOff>361949</xdr:colOff>
      <xdr:row>8</xdr:row>
      <xdr:rowOff>171450</xdr:rowOff>
    </xdr:from>
    <xdr:to>
      <xdr:col>19</xdr:col>
      <xdr:colOff>238125</xdr:colOff>
      <xdr:row>19</xdr:row>
      <xdr:rowOff>142874</xdr:rowOff>
    </xdr:to>
    <xdr:sp macro="" textlink="">
      <xdr:nvSpPr>
        <xdr:cNvPr id="12" name="Retângulo: Biselado 11">
          <a:extLst>
            <a:ext uri="{FF2B5EF4-FFF2-40B4-BE49-F238E27FC236}">
              <a16:creationId xmlns:a16="http://schemas.microsoft.com/office/drawing/2014/main" id="{00000000-0008-0000-0200-00000C000000}"/>
            </a:ext>
          </a:extLst>
        </xdr:cNvPr>
        <xdr:cNvSpPr/>
      </xdr:nvSpPr>
      <xdr:spPr>
        <a:xfrm>
          <a:off x="8896349" y="1828800"/>
          <a:ext cx="3009901" cy="2066924"/>
        </a:xfrm>
        <a:prstGeom prst="bevel">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pt-BR" sz="1100">
            <a:solidFill>
              <a:srgbClr val="FF0000"/>
            </a:solidFill>
          </a:endParaRPr>
        </a:p>
      </xdr:txBody>
    </xdr:sp>
    <xdr:clientData/>
  </xdr:twoCellAnchor>
  <xdr:twoCellAnchor>
    <xdr:from>
      <xdr:col>18</xdr:col>
      <xdr:colOff>127001</xdr:colOff>
      <xdr:row>1</xdr:row>
      <xdr:rowOff>169334</xdr:rowOff>
    </xdr:from>
    <xdr:to>
      <xdr:col>19</xdr:col>
      <xdr:colOff>158751</xdr:colOff>
      <xdr:row>4</xdr:row>
      <xdr:rowOff>84667</xdr:rowOff>
    </xdr:to>
    <xdr:sp macro="" textlink="">
      <xdr:nvSpPr>
        <xdr:cNvPr id="16" name="Seta para a esquerda 15">
          <a:extLst>
            <a:ext uri="{FF2B5EF4-FFF2-40B4-BE49-F238E27FC236}">
              <a16:creationId xmlns:a16="http://schemas.microsoft.com/office/drawing/2014/main" id="{00000000-0008-0000-0200-000010000000}"/>
            </a:ext>
          </a:extLst>
        </xdr:cNvPr>
        <xdr:cNvSpPr/>
      </xdr:nvSpPr>
      <xdr:spPr>
        <a:xfrm>
          <a:off x="12700001" y="497417"/>
          <a:ext cx="825500" cy="455083"/>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pt-BR" sz="1100"/>
            <a:t>EDITAL</a:t>
          </a:r>
        </a:p>
      </xdr:txBody>
    </xdr:sp>
    <xdr:clientData/>
  </xdr:twoCellAnchor>
  <xdr:twoCellAnchor editAs="oneCell">
    <xdr:from>
      <xdr:col>2</xdr:col>
      <xdr:colOff>200025</xdr:colOff>
      <xdr:row>0</xdr:row>
      <xdr:rowOff>327025</xdr:rowOff>
    </xdr:from>
    <xdr:to>
      <xdr:col>3</xdr:col>
      <xdr:colOff>238125</xdr:colOff>
      <xdr:row>4</xdr:row>
      <xdr:rowOff>75142</xdr:rowOff>
    </xdr:to>
    <xdr:pic>
      <xdr:nvPicPr>
        <xdr:cNvPr id="26" name="Gráfico 21" descr="Área de Transferência Parcialmente Marcada com preenchimento sólido">
          <a:hlinkClick xmlns:r="http://schemas.openxmlformats.org/officeDocument/2006/relationships" r:id="rId17"/>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97025" y="327025"/>
          <a:ext cx="736600" cy="615950"/>
        </a:xfrm>
        <a:prstGeom prst="roundRect">
          <a:avLst>
            <a:gd name="adj" fmla="val 16667"/>
          </a:avLst>
        </a:prstGeom>
        <a:ln>
          <a:noFill/>
        </a:ln>
        <a:effectLst>
          <a:outerShdw blurRad="152400" dist="12000" dir="900000" sy="98000" kx="110000" ky="200000" algn="tl" rotWithShape="0">
            <a:srgbClr val="000000">
              <a:alpha val="30000"/>
            </a:srgbClr>
          </a:outerShdw>
        </a:effectLst>
        <a:scene3d>
          <a:camera prst="perspectiveRelaxed">
            <a:rot lat="19800000" lon="1200000" rev="20820000"/>
          </a:camera>
          <a:lightRig rig="threePt" dir="t"/>
        </a:scene3d>
        <a:sp3d contourW="6350" prstMaterial="matte">
          <a:bevelT w="101600" h="101600"/>
          <a:contourClr>
            <a:srgbClr val="969696"/>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38100</xdr:rowOff>
    </xdr:from>
    <xdr:to>
      <xdr:col>16</xdr:col>
      <xdr:colOff>486833</xdr:colOff>
      <xdr:row>18</xdr:row>
      <xdr:rowOff>38100</xdr:rowOff>
    </xdr:to>
    <xdr:sp macro="" textlink="">
      <xdr:nvSpPr>
        <xdr:cNvPr id="2" name="Retângulo: Cantos Arredondados 1">
          <a:extLst>
            <a:ext uri="{FF2B5EF4-FFF2-40B4-BE49-F238E27FC236}">
              <a16:creationId xmlns:a16="http://schemas.microsoft.com/office/drawing/2014/main" id="{00000000-0008-0000-0300-000002000000}"/>
            </a:ext>
          </a:extLst>
        </xdr:cNvPr>
        <xdr:cNvSpPr/>
      </xdr:nvSpPr>
      <xdr:spPr>
        <a:xfrm>
          <a:off x="0" y="2281767"/>
          <a:ext cx="10308166" cy="15240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0</xdr:col>
      <xdr:colOff>66675</xdr:colOff>
      <xdr:row>10</xdr:row>
      <xdr:rowOff>166687</xdr:rowOff>
    </xdr:from>
    <xdr:to>
      <xdr:col>16</xdr:col>
      <xdr:colOff>232834</xdr:colOff>
      <xdr:row>17</xdr:row>
      <xdr:rowOff>28575</xdr:rowOff>
    </xdr:to>
    <xdr:graphicFrame macro="">
      <xdr:nvGraphicFramePr>
        <xdr:cNvPr id="3" name="Gráfico 4">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38099</xdr:rowOff>
    </xdr:from>
    <xdr:to>
      <xdr:col>22</xdr:col>
      <xdr:colOff>529167</xdr:colOff>
      <xdr:row>10</xdr:row>
      <xdr:rowOff>19050</xdr:rowOff>
    </xdr:to>
    <xdr:sp macro="" textlink="">
      <xdr:nvSpPr>
        <xdr:cNvPr id="4" name="Retângulo: Cantos Arredondados 3">
          <a:extLst>
            <a:ext uri="{FF2B5EF4-FFF2-40B4-BE49-F238E27FC236}">
              <a16:creationId xmlns:a16="http://schemas.microsoft.com/office/drawing/2014/main" id="{00000000-0008-0000-0300-000004000000}"/>
            </a:ext>
          </a:extLst>
        </xdr:cNvPr>
        <xdr:cNvSpPr/>
      </xdr:nvSpPr>
      <xdr:spPr>
        <a:xfrm>
          <a:off x="0" y="567266"/>
          <a:ext cx="14033500" cy="169545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0</xdr:col>
      <xdr:colOff>123823</xdr:colOff>
      <xdr:row>1</xdr:row>
      <xdr:rowOff>90487</xdr:rowOff>
    </xdr:from>
    <xdr:to>
      <xdr:col>22</xdr:col>
      <xdr:colOff>349250</xdr:colOff>
      <xdr:row>9</xdr:row>
      <xdr:rowOff>95250</xdr:rowOff>
    </xdr:to>
    <xdr:graphicFrame macro="">
      <xdr:nvGraphicFramePr>
        <xdr:cNvPr id="5" name="Gráfico 2">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505884</xdr:colOff>
      <xdr:row>10</xdr:row>
      <xdr:rowOff>39158</xdr:rowOff>
    </xdr:from>
    <xdr:to>
      <xdr:col>22</xdr:col>
      <xdr:colOff>563034</xdr:colOff>
      <xdr:row>18</xdr:row>
      <xdr:rowOff>39159</xdr:rowOff>
    </xdr:to>
    <xdr:sp macro="" textlink="">
      <xdr:nvSpPr>
        <xdr:cNvPr id="6" name="Retângulo: Cantos Arredondados 5">
          <a:extLst>
            <a:ext uri="{FF2B5EF4-FFF2-40B4-BE49-F238E27FC236}">
              <a16:creationId xmlns:a16="http://schemas.microsoft.com/office/drawing/2014/main" id="{00000000-0008-0000-0300-000006000000}"/>
            </a:ext>
          </a:extLst>
        </xdr:cNvPr>
        <xdr:cNvSpPr/>
      </xdr:nvSpPr>
      <xdr:spPr>
        <a:xfrm>
          <a:off x="10327217" y="2282825"/>
          <a:ext cx="3740150" cy="1524001"/>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16</xdr:col>
      <xdr:colOff>596901</xdr:colOff>
      <xdr:row>10</xdr:row>
      <xdr:rowOff>97366</xdr:rowOff>
    </xdr:from>
    <xdr:to>
      <xdr:col>22</xdr:col>
      <xdr:colOff>293159</xdr:colOff>
      <xdr:row>17</xdr:row>
      <xdr:rowOff>144991</xdr:rowOff>
    </xdr:to>
    <xdr:graphicFrame macro="">
      <xdr:nvGraphicFramePr>
        <xdr:cNvPr id="7" name="Gráfico 5">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18</xdr:row>
      <xdr:rowOff>52917</xdr:rowOff>
    </xdr:from>
    <xdr:to>
      <xdr:col>22</xdr:col>
      <xdr:colOff>592667</xdr:colOff>
      <xdr:row>26</xdr:row>
      <xdr:rowOff>52917</xdr:rowOff>
    </xdr:to>
    <xdr:sp macro="" textlink="">
      <xdr:nvSpPr>
        <xdr:cNvPr id="13" name="Retângulo: Cantos Arredondados 12">
          <a:extLst>
            <a:ext uri="{FF2B5EF4-FFF2-40B4-BE49-F238E27FC236}">
              <a16:creationId xmlns:a16="http://schemas.microsoft.com/office/drawing/2014/main" id="{00000000-0008-0000-0300-00000D000000}"/>
            </a:ext>
          </a:extLst>
        </xdr:cNvPr>
        <xdr:cNvSpPr/>
      </xdr:nvSpPr>
      <xdr:spPr>
        <a:xfrm>
          <a:off x="0" y="3820584"/>
          <a:ext cx="14097000" cy="15240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0</xdr:col>
      <xdr:colOff>254000</xdr:colOff>
      <xdr:row>18</xdr:row>
      <xdr:rowOff>148167</xdr:rowOff>
    </xdr:from>
    <xdr:to>
      <xdr:col>22</xdr:col>
      <xdr:colOff>275167</xdr:colOff>
      <xdr:row>25</xdr:row>
      <xdr:rowOff>162455</xdr:rowOff>
    </xdr:to>
    <xdr:graphicFrame macro="">
      <xdr:nvGraphicFramePr>
        <xdr:cNvPr id="14" name="Gráfico 8">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26</xdr:row>
      <xdr:rowOff>63500</xdr:rowOff>
    </xdr:from>
    <xdr:to>
      <xdr:col>13</xdr:col>
      <xdr:colOff>84667</xdr:colOff>
      <xdr:row>34</xdr:row>
      <xdr:rowOff>63500</xdr:rowOff>
    </xdr:to>
    <xdr:sp macro="" textlink="">
      <xdr:nvSpPr>
        <xdr:cNvPr id="15" name="Retângulo: Cantos Arredondados 14">
          <a:extLst>
            <a:ext uri="{FF2B5EF4-FFF2-40B4-BE49-F238E27FC236}">
              <a16:creationId xmlns:a16="http://schemas.microsoft.com/office/drawing/2014/main" id="{00000000-0008-0000-0300-00000F000000}"/>
            </a:ext>
          </a:extLst>
        </xdr:cNvPr>
        <xdr:cNvSpPr/>
      </xdr:nvSpPr>
      <xdr:spPr>
        <a:xfrm>
          <a:off x="0" y="5355167"/>
          <a:ext cx="8064500" cy="152400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0</xdr:col>
      <xdr:colOff>0</xdr:colOff>
      <xdr:row>34</xdr:row>
      <xdr:rowOff>78316</xdr:rowOff>
    </xdr:from>
    <xdr:to>
      <xdr:col>13</xdr:col>
      <xdr:colOff>63500</xdr:colOff>
      <xdr:row>43</xdr:row>
      <xdr:rowOff>0</xdr:rowOff>
    </xdr:to>
    <xdr:sp macro="" textlink="">
      <xdr:nvSpPr>
        <xdr:cNvPr id="16" name="Retângulo: Cantos Arredondados 15">
          <a:extLst>
            <a:ext uri="{FF2B5EF4-FFF2-40B4-BE49-F238E27FC236}">
              <a16:creationId xmlns:a16="http://schemas.microsoft.com/office/drawing/2014/main" id="{00000000-0008-0000-0300-000010000000}"/>
            </a:ext>
          </a:extLst>
        </xdr:cNvPr>
        <xdr:cNvSpPr/>
      </xdr:nvSpPr>
      <xdr:spPr>
        <a:xfrm>
          <a:off x="0" y="6893983"/>
          <a:ext cx="8043333" cy="1636184"/>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xdr:from>
      <xdr:col>0</xdr:col>
      <xdr:colOff>211667</xdr:colOff>
      <xdr:row>26</xdr:row>
      <xdr:rowOff>95250</xdr:rowOff>
    </xdr:from>
    <xdr:to>
      <xdr:col>12</xdr:col>
      <xdr:colOff>201084</xdr:colOff>
      <xdr:row>34</xdr:row>
      <xdr:rowOff>10583</xdr:rowOff>
    </xdr:to>
    <xdr:graphicFrame macro="">
      <xdr:nvGraphicFramePr>
        <xdr:cNvPr id="17" name="Gráfico 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148168</xdr:colOff>
      <xdr:row>35</xdr:row>
      <xdr:rowOff>31748</xdr:rowOff>
    </xdr:from>
    <xdr:to>
      <xdr:col>12</xdr:col>
      <xdr:colOff>21168</xdr:colOff>
      <xdr:row>41</xdr:row>
      <xdr:rowOff>183619</xdr:rowOff>
    </xdr:to>
    <xdr:graphicFrame macro="">
      <xdr:nvGraphicFramePr>
        <xdr:cNvPr id="18" name="Gráfico 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95250</xdr:colOff>
      <xdr:row>26</xdr:row>
      <xdr:rowOff>88900</xdr:rowOff>
    </xdr:from>
    <xdr:to>
      <xdr:col>22</xdr:col>
      <xdr:colOff>465667</xdr:colOff>
      <xdr:row>42</xdr:row>
      <xdr:rowOff>158750</xdr:rowOff>
    </xdr:to>
    <xdr:sp macro="" textlink="">
      <xdr:nvSpPr>
        <xdr:cNvPr id="19" name="Retângulo: Cantos Arredondados 18">
          <a:extLst>
            <a:ext uri="{FF2B5EF4-FFF2-40B4-BE49-F238E27FC236}">
              <a16:creationId xmlns:a16="http://schemas.microsoft.com/office/drawing/2014/main" id="{00000000-0008-0000-0300-000013000000}"/>
            </a:ext>
          </a:extLst>
        </xdr:cNvPr>
        <xdr:cNvSpPr/>
      </xdr:nvSpPr>
      <xdr:spPr>
        <a:xfrm>
          <a:off x="8075083" y="5380567"/>
          <a:ext cx="5894917" cy="3117850"/>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clientData/>
  </xdr:twoCellAnchor>
  <xdr:twoCellAnchor editAs="oneCell">
    <xdr:from>
      <xdr:col>0</xdr:col>
      <xdr:colOff>243417</xdr:colOff>
      <xdr:row>0</xdr:row>
      <xdr:rowOff>0</xdr:rowOff>
    </xdr:from>
    <xdr:to>
      <xdr:col>1</xdr:col>
      <xdr:colOff>124884</xdr:colOff>
      <xdr:row>0</xdr:row>
      <xdr:rowOff>495300</xdr:rowOff>
    </xdr:to>
    <xdr:pic>
      <xdr:nvPicPr>
        <xdr:cNvPr id="20" name="Gráfico 19" descr="Casa com preenchimento sólido">
          <a:hlinkClick xmlns:r="http://schemas.openxmlformats.org/officeDocument/2006/relationships" r:id="rId7"/>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8">
          <a:duotone>
            <a:prstClr val="black"/>
            <a:schemeClr val="tx1">
              <a:tint val="45000"/>
              <a:satMod val="400000"/>
            </a:schemeClr>
          </a:duotone>
          <a:extLst>
            <a:ext uri="{96DAC541-7B7A-43D3-8B79-37D633B846F1}">
              <asvg:svgBlip xmlns:asvg="http://schemas.microsoft.com/office/drawing/2016/SVG/main" r:embed="rId9"/>
            </a:ext>
          </a:extLst>
        </a:blip>
        <a:stretch>
          <a:fillRect/>
        </a:stretch>
      </xdr:blipFill>
      <xdr:spPr>
        <a:xfrm>
          <a:off x="243417" y="0"/>
          <a:ext cx="495300" cy="495300"/>
        </a:xfrm>
        <a:prstGeom prst="rect">
          <a:avLst/>
        </a:prstGeom>
      </xdr:spPr>
    </xdr:pic>
    <xdr:clientData/>
  </xdr:twoCellAnchor>
  <xdr:twoCellAnchor>
    <xdr:from>
      <xdr:col>13</xdr:col>
      <xdr:colOff>613834</xdr:colOff>
      <xdr:row>27</xdr:row>
      <xdr:rowOff>52917</xdr:rowOff>
    </xdr:from>
    <xdr:to>
      <xdr:col>21</xdr:col>
      <xdr:colOff>529168</xdr:colOff>
      <xdr:row>42</xdr:row>
      <xdr:rowOff>56885</xdr:rowOff>
    </xdr:to>
    <xdr:graphicFrame macro="">
      <xdr:nvGraphicFramePr>
        <xdr:cNvPr id="8" name="Gráfico 2">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9525</xdr:rowOff>
    </xdr:to>
    <xdr:pic>
      <xdr:nvPicPr>
        <xdr:cNvPr id="3" name="Gráfico 2" descr="Bolas de Harvey 60% com preenchimento sólido">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429750" y="314325"/>
          <a:ext cx="304800" cy="304800"/>
        </a:xfrm>
        <a:prstGeom prst="rect">
          <a:avLst/>
        </a:prstGeom>
      </xdr:spPr>
    </xdr:pic>
    <xdr:clientData/>
  </xdr:twoCellAnchor>
  <xdr:twoCellAnchor editAs="oneCell">
    <xdr:from>
      <xdr:col>1</xdr:col>
      <xdr:colOff>121425</xdr:colOff>
      <xdr:row>0</xdr:row>
      <xdr:rowOff>0</xdr:rowOff>
    </xdr:from>
    <xdr:to>
      <xdr:col>1</xdr:col>
      <xdr:colOff>762000</xdr:colOff>
      <xdr:row>2</xdr:row>
      <xdr:rowOff>30975</xdr:rowOff>
    </xdr:to>
    <xdr:pic>
      <xdr:nvPicPr>
        <xdr:cNvPr id="5" name="Gráfico 4" descr="Casa com preenchimento sólido">
          <a:hlinkClick xmlns:r="http://schemas.openxmlformats.org/officeDocument/2006/relationships" r:id="rId3"/>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1425" y="0"/>
          <a:ext cx="640575" cy="6405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182880</xdr:colOff>
          <xdr:row>0</xdr:row>
          <xdr:rowOff>137160</xdr:rowOff>
        </xdr:from>
        <xdr:to>
          <xdr:col>6</xdr:col>
          <xdr:colOff>266700</xdr:colOff>
          <xdr:row>1</xdr:row>
          <xdr:rowOff>190500</xdr:rowOff>
        </xdr:to>
        <xdr:sp macro="" textlink="">
          <xdr:nvSpPr>
            <xdr:cNvPr id="5122" name="CommandButton1"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0</xdr:row>
          <xdr:rowOff>137160</xdr:rowOff>
        </xdr:from>
        <xdr:to>
          <xdr:col>7</xdr:col>
          <xdr:colOff>640080</xdr:colOff>
          <xdr:row>1</xdr:row>
          <xdr:rowOff>198120</xdr:rowOff>
        </xdr:to>
        <xdr:sp macro="" textlink="">
          <xdr:nvSpPr>
            <xdr:cNvPr id="5123" name="CommandButton2"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0</xdr:row>
          <xdr:rowOff>137160</xdr:rowOff>
        </xdr:from>
        <xdr:to>
          <xdr:col>9</xdr:col>
          <xdr:colOff>304800</xdr:colOff>
          <xdr:row>1</xdr:row>
          <xdr:rowOff>198120</xdr:rowOff>
        </xdr:to>
        <xdr:sp macro="" textlink="">
          <xdr:nvSpPr>
            <xdr:cNvPr id="5124" name="CommandButton3"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0</xdr:row>
          <xdr:rowOff>22860</xdr:rowOff>
        </xdr:from>
        <xdr:to>
          <xdr:col>17</xdr:col>
          <xdr:colOff>434340</xdr:colOff>
          <xdr:row>1</xdr:row>
          <xdr:rowOff>83820</xdr:rowOff>
        </xdr:to>
        <xdr:sp macro="" textlink="">
          <xdr:nvSpPr>
            <xdr:cNvPr id="5125" name="CommandButton4"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219075</xdr:colOff>
      <xdr:row>2</xdr:row>
      <xdr:rowOff>85725</xdr:rowOff>
    </xdr:from>
    <xdr:to>
      <xdr:col>1</xdr:col>
      <xdr:colOff>590550</xdr:colOff>
      <xdr:row>2</xdr:row>
      <xdr:rowOff>333375</xdr:rowOff>
    </xdr:to>
    <xdr:sp macro="" textlink="">
      <xdr:nvSpPr>
        <xdr:cNvPr id="6" name="Seta: para a Esquerda 5">
          <a:hlinkClick xmlns:r="http://schemas.openxmlformats.org/officeDocument/2006/relationships" r:id="rId6"/>
          <a:extLst>
            <a:ext uri="{FF2B5EF4-FFF2-40B4-BE49-F238E27FC236}">
              <a16:creationId xmlns:a16="http://schemas.microsoft.com/office/drawing/2014/main" id="{00000000-0008-0000-0400-000006000000}"/>
            </a:ext>
          </a:extLst>
        </xdr:cNvPr>
        <xdr:cNvSpPr/>
      </xdr:nvSpPr>
      <xdr:spPr>
        <a:xfrm>
          <a:off x="219075" y="695325"/>
          <a:ext cx="371475"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429750" y="314325"/>
          <a:ext cx="304800" cy="3048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106680</xdr:colOff>
          <xdr:row>1</xdr:row>
          <xdr:rowOff>213360</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0</xdr:row>
          <xdr:rowOff>152400</xdr:rowOff>
        </xdr:from>
        <xdr:to>
          <xdr:col>6</xdr:col>
          <xdr:colOff>259080</xdr:colOff>
          <xdr:row>1</xdr:row>
          <xdr:rowOff>220980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152400</xdr:rowOff>
        </xdr:from>
        <xdr:to>
          <xdr:col>7</xdr:col>
          <xdr:colOff>510540</xdr:colOff>
          <xdr:row>1</xdr:row>
          <xdr:rowOff>220980</xdr:rowOff>
        </xdr:to>
        <xdr:sp macro="" textlink="">
          <xdr:nvSpPr>
            <xdr:cNvPr id="6148" name="CommandButton3"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0</xdr:row>
          <xdr:rowOff>7620</xdr:rowOff>
        </xdr:from>
        <xdr:to>
          <xdr:col>17</xdr:col>
          <xdr:colOff>274320</xdr:colOff>
          <xdr:row>1</xdr:row>
          <xdr:rowOff>76200</xdr:rowOff>
        </xdr:to>
        <xdr:sp macro="" textlink="">
          <xdr:nvSpPr>
            <xdr:cNvPr id="6149" name="CommandButton4"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104775</xdr:colOff>
      <xdr:row>0</xdr:row>
      <xdr:rowOff>0</xdr:rowOff>
    </xdr:from>
    <xdr:to>
      <xdr:col>1</xdr:col>
      <xdr:colOff>745350</xdr:colOff>
      <xdr:row>2</xdr:row>
      <xdr:rowOff>30975</xdr:rowOff>
    </xdr:to>
    <xdr:pic>
      <xdr:nvPicPr>
        <xdr:cNvPr id="4" name="Gráfico 3" descr="Casa com preenchimento sólido">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4775" y="0"/>
          <a:ext cx="640575" cy="640575"/>
        </a:xfrm>
        <a:prstGeom prst="rect">
          <a:avLst/>
        </a:prstGeom>
      </xdr:spPr>
    </xdr:pic>
    <xdr:clientData/>
  </xdr:twoCellAnchor>
  <xdr:twoCellAnchor>
    <xdr:from>
      <xdr:col>1</xdr:col>
      <xdr:colOff>202425</xdr:colOff>
      <xdr:row>2</xdr:row>
      <xdr:rowOff>85725</xdr:rowOff>
    </xdr:from>
    <xdr:to>
      <xdr:col>1</xdr:col>
      <xdr:colOff>573900</xdr:colOff>
      <xdr:row>2</xdr:row>
      <xdr:rowOff>333375</xdr:rowOff>
    </xdr:to>
    <xdr:sp macro="" textlink="">
      <xdr:nvSpPr>
        <xdr:cNvPr id="5" name="Seta: para a Esquerda 4">
          <a:hlinkClick xmlns:r="http://schemas.openxmlformats.org/officeDocument/2006/relationships" r:id="rId6"/>
          <a:extLst>
            <a:ext uri="{FF2B5EF4-FFF2-40B4-BE49-F238E27FC236}">
              <a16:creationId xmlns:a16="http://schemas.microsoft.com/office/drawing/2014/main" id="{00000000-0008-0000-0500-000005000000}"/>
            </a:ext>
          </a:extLst>
        </xdr:cNvPr>
        <xdr:cNvSpPr/>
      </xdr:nvSpPr>
      <xdr:spPr>
        <a:xfrm>
          <a:off x="202425" y="695325"/>
          <a:ext cx="371475"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429750" y="314325"/>
          <a:ext cx="304800" cy="295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76200</xdr:colOff>
          <xdr:row>1</xdr:row>
          <xdr:rowOff>213360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0</xdr:row>
          <xdr:rowOff>152400</xdr:rowOff>
        </xdr:from>
        <xdr:to>
          <xdr:col>6</xdr:col>
          <xdr:colOff>259080</xdr:colOff>
          <xdr:row>1</xdr:row>
          <xdr:rowOff>220980</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152400</xdr:rowOff>
        </xdr:from>
        <xdr:to>
          <xdr:col>7</xdr:col>
          <xdr:colOff>510540</xdr:colOff>
          <xdr:row>1</xdr:row>
          <xdr:rowOff>220980</xdr:rowOff>
        </xdr:to>
        <xdr:sp macro="" textlink="">
          <xdr:nvSpPr>
            <xdr:cNvPr id="7171" name="CommandButton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0</xdr:row>
          <xdr:rowOff>7620</xdr:rowOff>
        </xdr:from>
        <xdr:to>
          <xdr:col>17</xdr:col>
          <xdr:colOff>274320</xdr:colOff>
          <xdr:row>1</xdr:row>
          <xdr:rowOff>76200</xdr:rowOff>
        </xdr:to>
        <xdr:sp macro="" textlink="">
          <xdr:nvSpPr>
            <xdr:cNvPr id="7172" name="CommandButton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142875</xdr:colOff>
      <xdr:row>0</xdr:row>
      <xdr:rowOff>0</xdr:rowOff>
    </xdr:from>
    <xdr:to>
      <xdr:col>1</xdr:col>
      <xdr:colOff>783450</xdr:colOff>
      <xdr:row>2</xdr:row>
      <xdr:rowOff>30975</xdr:rowOff>
    </xdr:to>
    <xdr:pic>
      <xdr:nvPicPr>
        <xdr:cNvPr id="4" name="Gráfico 3" descr="Casa com preenchimento sólido">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2875" y="0"/>
          <a:ext cx="640575" cy="640575"/>
        </a:xfrm>
        <a:prstGeom prst="rect">
          <a:avLst/>
        </a:prstGeom>
      </xdr:spPr>
    </xdr:pic>
    <xdr:clientData/>
  </xdr:twoCellAnchor>
  <xdr:twoCellAnchor>
    <xdr:from>
      <xdr:col>1</xdr:col>
      <xdr:colOff>240525</xdr:colOff>
      <xdr:row>2</xdr:row>
      <xdr:rowOff>85725</xdr:rowOff>
    </xdr:from>
    <xdr:to>
      <xdr:col>1</xdr:col>
      <xdr:colOff>612000</xdr:colOff>
      <xdr:row>2</xdr:row>
      <xdr:rowOff>333375</xdr:rowOff>
    </xdr:to>
    <xdr:sp macro="" textlink="">
      <xdr:nvSpPr>
        <xdr:cNvPr id="5" name="Seta: para a Esquerda 4">
          <a:hlinkClick xmlns:r="http://schemas.openxmlformats.org/officeDocument/2006/relationships" r:id="rId6"/>
          <a:extLst>
            <a:ext uri="{FF2B5EF4-FFF2-40B4-BE49-F238E27FC236}">
              <a16:creationId xmlns:a16="http://schemas.microsoft.com/office/drawing/2014/main" id="{00000000-0008-0000-0600-000005000000}"/>
            </a:ext>
          </a:extLst>
        </xdr:cNvPr>
        <xdr:cNvSpPr/>
      </xdr:nvSpPr>
      <xdr:spPr>
        <a:xfrm>
          <a:off x="240525" y="695325"/>
          <a:ext cx="371475"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429750" y="314325"/>
          <a:ext cx="304800" cy="295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76200</xdr:colOff>
          <xdr:row>1</xdr:row>
          <xdr:rowOff>213360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0</xdr:row>
          <xdr:rowOff>152400</xdr:rowOff>
        </xdr:from>
        <xdr:to>
          <xdr:col>6</xdr:col>
          <xdr:colOff>259080</xdr:colOff>
          <xdr:row>1</xdr:row>
          <xdr:rowOff>220980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152400</xdr:rowOff>
        </xdr:from>
        <xdr:to>
          <xdr:col>7</xdr:col>
          <xdr:colOff>510540</xdr:colOff>
          <xdr:row>1</xdr:row>
          <xdr:rowOff>220980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0</xdr:row>
          <xdr:rowOff>7620</xdr:rowOff>
        </xdr:from>
        <xdr:to>
          <xdr:col>17</xdr:col>
          <xdr:colOff>274320</xdr:colOff>
          <xdr:row>1</xdr:row>
          <xdr:rowOff>76200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133350</xdr:colOff>
      <xdr:row>0</xdr:row>
      <xdr:rowOff>0</xdr:rowOff>
    </xdr:from>
    <xdr:to>
      <xdr:col>1</xdr:col>
      <xdr:colOff>773925</xdr:colOff>
      <xdr:row>2</xdr:row>
      <xdr:rowOff>30975</xdr:rowOff>
    </xdr:to>
    <xdr:pic>
      <xdr:nvPicPr>
        <xdr:cNvPr id="4" name="Gráfico 3" descr="Casa com preenchimento sólido">
          <a:hlinkClick xmlns:r="http://schemas.openxmlformats.org/officeDocument/2006/relationships" r:id="rId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3350" y="0"/>
          <a:ext cx="640575" cy="640575"/>
        </a:xfrm>
        <a:prstGeom prst="rect">
          <a:avLst/>
        </a:prstGeom>
      </xdr:spPr>
    </xdr:pic>
    <xdr:clientData/>
  </xdr:twoCellAnchor>
  <xdr:twoCellAnchor>
    <xdr:from>
      <xdr:col>1</xdr:col>
      <xdr:colOff>231000</xdr:colOff>
      <xdr:row>2</xdr:row>
      <xdr:rowOff>85725</xdr:rowOff>
    </xdr:from>
    <xdr:to>
      <xdr:col>1</xdr:col>
      <xdr:colOff>602475</xdr:colOff>
      <xdr:row>2</xdr:row>
      <xdr:rowOff>333375</xdr:rowOff>
    </xdr:to>
    <xdr:sp macro="" textlink="">
      <xdr:nvSpPr>
        <xdr:cNvPr id="5" name="Seta: para a Esquerda 4">
          <a:hlinkClick xmlns:r="http://schemas.openxmlformats.org/officeDocument/2006/relationships" r:id="rId6"/>
          <a:extLst>
            <a:ext uri="{FF2B5EF4-FFF2-40B4-BE49-F238E27FC236}">
              <a16:creationId xmlns:a16="http://schemas.microsoft.com/office/drawing/2014/main" id="{00000000-0008-0000-0700-000005000000}"/>
            </a:ext>
          </a:extLst>
        </xdr:cNvPr>
        <xdr:cNvSpPr/>
      </xdr:nvSpPr>
      <xdr:spPr>
        <a:xfrm>
          <a:off x="231000" y="695325"/>
          <a:ext cx="371475"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429750" y="314325"/>
          <a:ext cx="304800" cy="2952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76200</xdr:colOff>
          <xdr:row>1</xdr:row>
          <xdr:rowOff>213360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8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190500</xdr:colOff>
          <xdr:row>0</xdr:row>
          <xdr:rowOff>152400</xdr:rowOff>
        </xdr:from>
        <xdr:to>
          <xdr:col>6</xdr:col>
          <xdr:colOff>259080</xdr:colOff>
          <xdr:row>1</xdr:row>
          <xdr:rowOff>220980</xdr:rowOff>
        </xdr:to>
        <xdr:sp macro="" textlink="">
          <xdr:nvSpPr>
            <xdr:cNvPr id="9218" name="CommandButton2" hidden="1">
              <a:extLst>
                <a:ext uri="{63B3BB69-23CF-44E3-9099-C40C66FF867C}">
                  <a14:compatExt spid="_x0000_s9218"/>
                </a:ext>
                <a:ext uri="{FF2B5EF4-FFF2-40B4-BE49-F238E27FC236}">
                  <a16:creationId xmlns:a16="http://schemas.microsoft.com/office/drawing/2014/main" id="{00000000-0008-0000-08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0</xdr:row>
          <xdr:rowOff>152400</xdr:rowOff>
        </xdr:from>
        <xdr:to>
          <xdr:col>7</xdr:col>
          <xdr:colOff>510540</xdr:colOff>
          <xdr:row>1</xdr:row>
          <xdr:rowOff>220980</xdr:rowOff>
        </xdr:to>
        <xdr:sp macro="" textlink="">
          <xdr:nvSpPr>
            <xdr:cNvPr id="9219" name="CommandButton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30480</xdr:colOff>
          <xdr:row>0</xdr:row>
          <xdr:rowOff>7620</xdr:rowOff>
        </xdr:from>
        <xdr:to>
          <xdr:col>17</xdr:col>
          <xdr:colOff>274320</xdr:colOff>
          <xdr:row>1</xdr:row>
          <xdr:rowOff>76200</xdr:rowOff>
        </xdr:to>
        <xdr:sp macro="" textlink="">
          <xdr:nvSpPr>
            <xdr:cNvPr id="9220" name="CommandButton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114300</xdr:colOff>
      <xdr:row>0</xdr:row>
      <xdr:rowOff>0</xdr:rowOff>
    </xdr:from>
    <xdr:to>
      <xdr:col>1</xdr:col>
      <xdr:colOff>752475</xdr:colOff>
      <xdr:row>2</xdr:row>
      <xdr:rowOff>30975</xdr:rowOff>
    </xdr:to>
    <xdr:pic>
      <xdr:nvPicPr>
        <xdr:cNvPr id="4" name="Gráfico 3" descr="Casa com preenchimento sólido">
          <a:hlinkClick xmlns:r="http://schemas.openxmlformats.org/officeDocument/2006/relationships" r:id="rId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40575"/>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5" name="Seta: para a Esquerda 4">
          <a:hlinkClick xmlns:r="http://schemas.openxmlformats.org/officeDocument/2006/relationships" r:id="rId6"/>
          <a:extLst>
            <a:ext uri="{FF2B5EF4-FFF2-40B4-BE49-F238E27FC236}">
              <a16:creationId xmlns:a16="http://schemas.microsoft.com/office/drawing/2014/main" id="{00000000-0008-0000-0800-000005000000}"/>
            </a:ext>
          </a:extLst>
        </xdr:cNvPr>
        <xdr:cNvSpPr/>
      </xdr:nvSpPr>
      <xdr:spPr>
        <a:xfrm>
          <a:off x="211950" y="695325"/>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7" name="Gráfico 3" descr="Casa com preenchimento sólido">
          <a:hlinkClick xmlns:r="http://schemas.openxmlformats.org/officeDocument/2006/relationships" r:id="rId3"/>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145275</xdr:colOff>
      <xdr:row>2</xdr:row>
      <xdr:rowOff>57150</xdr:rowOff>
    </xdr:from>
    <xdr:to>
      <xdr:col>1</xdr:col>
      <xdr:colOff>515358</xdr:colOff>
      <xdr:row>2</xdr:row>
      <xdr:rowOff>304800</xdr:rowOff>
    </xdr:to>
    <xdr:sp macro="" textlink="">
      <xdr:nvSpPr>
        <xdr:cNvPr id="8" name="Seta: para a Esquerda 4">
          <a:hlinkClick xmlns:r="http://schemas.openxmlformats.org/officeDocument/2006/relationships" r:id="rId6"/>
          <a:extLst>
            <a:ext uri="{FF2B5EF4-FFF2-40B4-BE49-F238E27FC236}">
              <a16:creationId xmlns:a16="http://schemas.microsoft.com/office/drawing/2014/main" id="{00000000-0008-0000-0900-000008000000}"/>
            </a:ext>
          </a:extLst>
        </xdr:cNvPr>
        <xdr:cNvSpPr/>
      </xdr:nvSpPr>
      <xdr:spPr>
        <a:xfrm>
          <a:off x="145275" y="657225"/>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3</xdr:col>
          <xdr:colOff>426720</xdr:colOff>
          <xdr:row>0</xdr:row>
          <xdr:rowOff>137160</xdr:rowOff>
        </xdr:from>
        <xdr:to>
          <xdr:col>5</xdr:col>
          <xdr:colOff>45720</xdr:colOff>
          <xdr:row>1</xdr:row>
          <xdr:rowOff>205740</xdr:rowOff>
        </xdr:to>
        <xdr:sp macro="" textlink="">
          <xdr:nvSpPr>
            <xdr:cNvPr id="12293" name="CommandButton5" hidden="1">
              <a:extLst>
                <a:ext uri="{63B3BB69-23CF-44E3-9099-C40C66FF867C}">
                  <a14:compatExt spid="_x0000_s12293"/>
                </a:ext>
                <a:ext uri="{FF2B5EF4-FFF2-40B4-BE49-F238E27FC236}">
                  <a16:creationId xmlns:a16="http://schemas.microsoft.com/office/drawing/2014/main" id="{00000000-0008-0000-09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160020</xdr:colOff>
          <xdr:row>0</xdr:row>
          <xdr:rowOff>144780</xdr:rowOff>
        </xdr:from>
        <xdr:to>
          <xdr:col>6</xdr:col>
          <xdr:colOff>228600</xdr:colOff>
          <xdr:row>1</xdr:row>
          <xdr:rowOff>213360</xdr:rowOff>
        </xdr:to>
        <xdr:sp macro="" textlink="">
          <xdr:nvSpPr>
            <xdr:cNvPr id="12294" name="CommandButton6" hidden="1">
              <a:extLst>
                <a:ext uri="{63B3BB69-23CF-44E3-9099-C40C66FF867C}">
                  <a14:compatExt spid="_x0000_s12294"/>
                </a:ext>
                <a:ext uri="{FF2B5EF4-FFF2-40B4-BE49-F238E27FC236}">
                  <a16:creationId xmlns:a16="http://schemas.microsoft.com/office/drawing/2014/main" id="{00000000-0008-0000-09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312420</xdr:colOff>
          <xdr:row>0</xdr:row>
          <xdr:rowOff>144780</xdr:rowOff>
        </xdr:from>
        <xdr:to>
          <xdr:col>7</xdr:col>
          <xdr:colOff>480060</xdr:colOff>
          <xdr:row>1</xdr:row>
          <xdr:rowOff>213360</xdr:rowOff>
        </xdr:to>
        <xdr:sp macro="" textlink="">
          <xdr:nvSpPr>
            <xdr:cNvPr id="12295" name="CommandButton7" hidden="1">
              <a:extLst>
                <a:ext uri="{63B3BB69-23CF-44E3-9099-C40C66FF867C}">
                  <a14:compatExt spid="_x0000_s12295"/>
                </a:ext>
                <a:ext uri="{FF2B5EF4-FFF2-40B4-BE49-F238E27FC236}">
                  <a16:creationId xmlns:a16="http://schemas.microsoft.com/office/drawing/2014/main" id="{00000000-0008-0000-09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17</xdr:col>
          <xdr:colOff>243840</xdr:colOff>
          <xdr:row>1</xdr:row>
          <xdr:rowOff>68580</xdr:rowOff>
        </xdr:to>
        <xdr:sp macro="" textlink="">
          <xdr:nvSpPr>
            <xdr:cNvPr id="12296" name="CommandButton8" hidden="1">
              <a:extLst>
                <a:ext uri="{63B3BB69-23CF-44E3-9099-C40C66FF867C}">
                  <a14:compatExt spid="_x0000_s12296"/>
                </a:ext>
                <a:ext uri="{FF2B5EF4-FFF2-40B4-BE49-F238E27FC236}">
                  <a16:creationId xmlns:a16="http://schemas.microsoft.com/office/drawing/2014/main" id="{00000000-0008-0000-0900-000008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7" name="Gráfico 3" descr="Casa com preenchimento sólido">
          <a:hlinkClick xmlns:r="http://schemas.openxmlformats.org/officeDocument/2006/relationships" r:id="rId3"/>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8" name="Seta: para a Esquerda 4">
          <a:hlinkClick xmlns:r="http://schemas.openxmlformats.org/officeDocument/2006/relationships" r:id="rId6"/>
          <a:extLst>
            <a:ext uri="{FF2B5EF4-FFF2-40B4-BE49-F238E27FC236}">
              <a16:creationId xmlns:a16="http://schemas.microsoft.com/office/drawing/2014/main" id="{00000000-0008-0000-0A00-000008000000}"/>
            </a:ext>
          </a:extLst>
        </xdr:cNvPr>
        <xdr:cNvSpPr/>
      </xdr:nvSpPr>
      <xdr:spPr>
        <a:xfrm>
          <a:off x="211950" y="685800"/>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0</xdr:row>
          <xdr:rowOff>137160</xdr:rowOff>
        </xdr:from>
        <xdr:to>
          <xdr:col>5</xdr:col>
          <xdr:colOff>129540</xdr:colOff>
          <xdr:row>1</xdr:row>
          <xdr:rowOff>190500</xdr:rowOff>
        </xdr:to>
        <xdr:sp macro="" textlink="">
          <xdr:nvSpPr>
            <xdr:cNvPr id="13317" name="CommandButton5" hidden="1">
              <a:extLst>
                <a:ext uri="{63B3BB69-23CF-44E3-9099-C40C66FF867C}">
                  <a14:compatExt spid="_x0000_s13317"/>
                </a:ext>
                <a:ext uri="{FF2B5EF4-FFF2-40B4-BE49-F238E27FC236}">
                  <a16:creationId xmlns:a16="http://schemas.microsoft.com/office/drawing/2014/main" id="{00000000-0008-0000-0A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236220</xdr:colOff>
          <xdr:row>0</xdr:row>
          <xdr:rowOff>121920</xdr:rowOff>
        </xdr:from>
        <xdr:to>
          <xdr:col>6</xdr:col>
          <xdr:colOff>419100</xdr:colOff>
          <xdr:row>1</xdr:row>
          <xdr:rowOff>182880</xdr:rowOff>
        </xdr:to>
        <xdr:sp macro="" textlink="">
          <xdr:nvSpPr>
            <xdr:cNvPr id="13318" name="CommandButton6" hidden="1">
              <a:extLst>
                <a:ext uri="{63B3BB69-23CF-44E3-9099-C40C66FF867C}">
                  <a14:compatExt spid="_x0000_s13318"/>
                </a:ext>
                <a:ext uri="{FF2B5EF4-FFF2-40B4-BE49-F238E27FC236}">
                  <a16:creationId xmlns:a16="http://schemas.microsoft.com/office/drawing/2014/main" id="{00000000-0008-0000-0A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518160</xdr:colOff>
          <xdr:row>0</xdr:row>
          <xdr:rowOff>121920</xdr:rowOff>
        </xdr:from>
        <xdr:to>
          <xdr:col>8</xdr:col>
          <xdr:colOff>22860</xdr:colOff>
          <xdr:row>1</xdr:row>
          <xdr:rowOff>182880</xdr:rowOff>
        </xdr:to>
        <xdr:sp macro="" textlink="">
          <xdr:nvSpPr>
            <xdr:cNvPr id="13319" name="CommandButton7" hidden="1">
              <a:extLst>
                <a:ext uri="{63B3BB69-23CF-44E3-9099-C40C66FF867C}">
                  <a14:compatExt spid="_x0000_s13319"/>
                </a:ext>
                <a:ext uri="{FF2B5EF4-FFF2-40B4-BE49-F238E27FC236}">
                  <a16:creationId xmlns:a16="http://schemas.microsoft.com/office/drawing/2014/main" id="{00000000-0008-0000-0A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0</xdr:row>
          <xdr:rowOff>0</xdr:rowOff>
        </xdr:from>
        <xdr:to>
          <xdr:col>17</xdr:col>
          <xdr:colOff>335280</xdr:colOff>
          <xdr:row>1</xdr:row>
          <xdr:rowOff>60960</xdr:rowOff>
        </xdr:to>
        <xdr:sp macro="" textlink="">
          <xdr:nvSpPr>
            <xdr:cNvPr id="13320" name="CommandButton8" hidden="1">
              <a:extLst>
                <a:ext uri="{63B3BB69-23CF-44E3-9099-C40C66FF867C}">
                  <a14:compatExt spid="_x0000_s13320"/>
                </a:ext>
                <a:ext uri="{FF2B5EF4-FFF2-40B4-BE49-F238E27FC236}">
                  <a16:creationId xmlns:a16="http://schemas.microsoft.com/office/drawing/2014/main" id="{00000000-0008-0000-0A00-000008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7" name="Gráfico 3" descr="Casa com preenchimento sólido">
          <a:hlinkClick xmlns:r="http://schemas.openxmlformats.org/officeDocument/2006/relationships" r:id="rId3"/>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8" name="Seta: para a Esquerda 4">
          <a:hlinkClick xmlns:r="http://schemas.openxmlformats.org/officeDocument/2006/relationships" r:id="rId6"/>
          <a:extLst>
            <a:ext uri="{FF2B5EF4-FFF2-40B4-BE49-F238E27FC236}">
              <a16:creationId xmlns:a16="http://schemas.microsoft.com/office/drawing/2014/main" id="{00000000-0008-0000-0B00-000008000000}"/>
            </a:ext>
          </a:extLst>
        </xdr:cNvPr>
        <xdr:cNvSpPr/>
      </xdr:nvSpPr>
      <xdr:spPr>
        <a:xfrm>
          <a:off x="211950" y="685800"/>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152400</xdr:colOff>
          <xdr:row>1</xdr:row>
          <xdr:rowOff>198120</xdr:rowOff>
        </xdr:to>
        <xdr:sp macro="" textlink="">
          <xdr:nvSpPr>
            <xdr:cNvPr id="14341" name="CommandButton5" hidden="1">
              <a:extLst>
                <a:ext uri="{63B3BB69-23CF-44E3-9099-C40C66FF867C}">
                  <a14:compatExt spid="_x0000_s14341"/>
                </a:ext>
                <a:ext uri="{FF2B5EF4-FFF2-40B4-BE49-F238E27FC236}">
                  <a16:creationId xmlns:a16="http://schemas.microsoft.com/office/drawing/2014/main" id="{00000000-0008-0000-0B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0</xdr:row>
          <xdr:rowOff>144780</xdr:rowOff>
        </xdr:from>
        <xdr:to>
          <xdr:col>6</xdr:col>
          <xdr:colOff>449580</xdr:colOff>
          <xdr:row>1</xdr:row>
          <xdr:rowOff>205740</xdr:rowOff>
        </xdr:to>
        <xdr:sp macro="" textlink="">
          <xdr:nvSpPr>
            <xdr:cNvPr id="14342" name="CommandButton6" hidden="1">
              <a:extLst>
                <a:ext uri="{63B3BB69-23CF-44E3-9099-C40C66FF867C}">
                  <a14:compatExt spid="_x0000_s14342"/>
                </a:ext>
                <a:ext uri="{FF2B5EF4-FFF2-40B4-BE49-F238E27FC236}">
                  <a16:creationId xmlns:a16="http://schemas.microsoft.com/office/drawing/2014/main" id="{00000000-0008-0000-0B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0</xdr:row>
          <xdr:rowOff>152400</xdr:rowOff>
        </xdr:from>
        <xdr:to>
          <xdr:col>8</xdr:col>
          <xdr:colOff>60960</xdr:colOff>
          <xdr:row>1</xdr:row>
          <xdr:rowOff>213360</xdr:rowOff>
        </xdr:to>
        <xdr:sp macro="" textlink="">
          <xdr:nvSpPr>
            <xdr:cNvPr id="14343" name="CommandButton7" hidden="1">
              <a:extLst>
                <a:ext uri="{63B3BB69-23CF-44E3-9099-C40C66FF867C}">
                  <a14:compatExt spid="_x0000_s14343"/>
                </a:ext>
                <a:ext uri="{FF2B5EF4-FFF2-40B4-BE49-F238E27FC236}">
                  <a16:creationId xmlns:a16="http://schemas.microsoft.com/office/drawing/2014/main" id="{00000000-0008-0000-0B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17</xdr:col>
          <xdr:colOff>327660</xdr:colOff>
          <xdr:row>1</xdr:row>
          <xdr:rowOff>60960</xdr:rowOff>
        </xdr:to>
        <xdr:sp macro="" textlink="">
          <xdr:nvSpPr>
            <xdr:cNvPr id="14344" name="CommandButton8" hidden="1">
              <a:extLst>
                <a:ext uri="{63B3BB69-23CF-44E3-9099-C40C66FF867C}">
                  <a14:compatExt spid="_x0000_s14344"/>
                </a:ext>
                <a:ext uri="{FF2B5EF4-FFF2-40B4-BE49-F238E27FC236}">
                  <a16:creationId xmlns:a16="http://schemas.microsoft.com/office/drawing/2014/main" id="{00000000-0008-0000-0B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3" name="Gráfico 3" descr="Casa com preenchimento sólido">
          <a:hlinkClick xmlns:r="http://schemas.openxmlformats.org/officeDocument/2006/relationships" r:id="rId3"/>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4" name="Seta: para a Esquerda 4">
          <a:hlinkClick xmlns:r="http://schemas.openxmlformats.org/officeDocument/2006/relationships" r:id="rId6"/>
          <a:extLst>
            <a:ext uri="{FF2B5EF4-FFF2-40B4-BE49-F238E27FC236}">
              <a16:creationId xmlns:a16="http://schemas.microsoft.com/office/drawing/2014/main" id="{00000000-0008-0000-0C00-000004000000}"/>
            </a:ext>
          </a:extLst>
        </xdr:cNvPr>
        <xdr:cNvSpPr/>
      </xdr:nvSpPr>
      <xdr:spPr>
        <a:xfrm>
          <a:off x="211950" y="685800"/>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17</xdr:col>
          <xdr:colOff>327660</xdr:colOff>
          <xdr:row>1</xdr:row>
          <xdr:rowOff>60960</xdr:rowOff>
        </xdr:to>
        <xdr:sp macro="" textlink="">
          <xdr:nvSpPr>
            <xdr:cNvPr id="17412" name="CommandButton8" hidden="1">
              <a:extLst>
                <a:ext uri="{63B3BB69-23CF-44E3-9099-C40C66FF867C}">
                  <a14:compatExt spid="_x0000_s17412"/>
                </a:ext>
                <a:ext uri="{FF2B5EF4-FFF2-40B4-BE49-F238E27FC236}">
                  <a16:creationId xmlns:a16="http://schemas.microsoft.com/office/drawing/2014/main" id="{00000000-0008-0000-0C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464820</xdr:colOff>
          <xdr:row>0</xdr:row>
          <xdr:rowOff>106680</xdr:rowOff>
        </xdr:from>
        <xdr:to>
          <xdr:col>5</xdr:col>
          <xdr:colOff>784860</xdr:colOff>
          <xdr:row>1</xdr:row>
          <xdr:rowOff>152400</xdr:rowOff>
        </xdr:to>
        <xdr:sp macro="" textlink="">
          <xdr:nvSpPr>
            <xdr:cNvPr id="17413" name="CommandButton1" hidden="1">
              <a:extLst>
                <a:ext uri="{63B3BB69-23CF-44E3-9099-C40C66FF867C}">
                  <a14:compatExt spid="_x0000_s17413"/>
                </a:ext>
                <a:ext uri="{FF2B5EF4-FFF2-40B4-BE49-F238E27FC236}">
                  <a16:creationId xmlns:a16="http://schemas.microsoft.com/office/drawing/2014/main" id="{00000000-0008-0000-0C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0</xdr:row>
          <xdr:rowOff>106680</xdr:rowOff>
        </xdr:from>
        <xdr:to>
          <xdr:col>7</xdr:col>
          <xdr:colOff>365760</xdr:colOff>
          <xdr:row>1</xdr:row>
          <xdr:rowOff>160020</xdr:rowOff>
        </xdr:to>
        <xdr:sp macro="" textlink="">
          <xdr:nvSpPr>
            <xdr:cNvPr id="17414" name="CommandButton2" hidden="1">
              <a:extLst>
                <a:ext uri="{63B3BB69-23CF-44E3-9099-C40C66FF867C}">
                  <a14:compatExt spid="_x0000_s17414"/>
                </a:ext>
                <a:ext uri="{FF2B5EF4-FFF2-40B4-BE49-F238E27FC236}">
                  <a16:creationId xmlns:a16="http://schemas.microsoft.com/office/drawing/2014/main" id="{00000000-0008-0000-0C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0</xdr:row>
          <xdr:rowOff>114300</xdr:rowOff>
        </xdr:from>
        <xdr:to>
          <xdr:col>9</xdr:col>
          <xdr:colOff>60960</xdr:colOff>
          <xdr:row>1</xdr:row>
          <xdr:rowOff>167640</xdr:rowOff>
        </xdr:to>
        <xdr:sp macro="" textlink="">
          <xdr:nvSpPr>
            <xdr:cNvPr id="17415" name="CommandButton3" hidden="1">
              <a:extLst>
                <a:ext uri="{63B3BB69-23CF-44E3-9099-C40C66FF867C}">
                  <a14:compatExt spid="_x0000_s17415"/>
                </a:ext>
                <a:ext uri="{FF2B5EF4-FFF2-40B4-BE49-F238E27FC236}">
                  <a16:creationId xmlns:a16="http://schemas.microsoft.com/office/drawing/2014/main" id="{00000000-0008-0000-0C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3" name="Gráfico 3" descr="Casa com preenchimento sólido">
          <a:hlinkClick xmlns:r="http://schemas.openxmlformats.org/officeDocument/2006/relationships" r:id="rId3"/>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4" name="Seta: para a Esquerda 4">
          <a:hlinkClick xmlns:r="http://schemas.openxmlformats.org/officeDocument/2006/relationships" r:id="rId6"/>
          <a:extLst>
            <a:ext uri="{FF2B5EF4-FFF2-40B4-BE49-F238E27FC236}">
              <a16:creationId xmlns:a16="http://schemas.microsoft.com/office/drawing/2014/main" id="{00000000-0008-0000-0D00-000004000000}"/>
            </a:ext>
          </a:extLst>
        </xdr:cNvPr>
        <xdr:cNvSpPr/>
      </xdr:nvSpPr>
      <xdr:spPr>
        <a:xfrm>
          <a:off x="211950" y="685800"/>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5</xdr:col>
          <xdr:colOff>30480</xdr:colOff>
          <xdr:row>0</xdr:row>
          <xdr:rowOff>137160</xdr:rowOff>
        </xdr:from>
        <xdr:to>
          <xdr:col>6</xdr:col>
          <xdr:colOff>205740</xdr:colOff>
          <xdr:row>1</xdr:row>
          <xdr:rowOff>190500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0D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373380</xdr:colOff>
          <xdr:row>0</xdr:row>
          <xdr:rowOff>121920</xdr:rowOff>
        </xdr:from>
        <xdr:to>
          <xdr:col>7</xdr:col>
          <xdr:colOff>655320</xdr:colOff>
          <xdr:row>1</xdr:row>
          <xdr:rowOff>182880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0D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121920</xdr:rowOff>
        </xdr:from>
        <xdr:to>
          <xdr:col>9</xdr:col>
          <xdr:colOff>335280</xdr:colOff>
          <xdr:row>1</xdr:row>
          <xdr:rowOff>182880</xdr:rowOff>
        </xdr:to>
        <xdr:sp macro="" textlink="">
          <xdr:nvSpPr>
            <xdr:cNvPr id="18439" name="CommandButton3" hidden="1">
              <a:extLst>
                <a:ext uri="{63B3BB69-23CF-44E3-9099-C40C66FF867C}">
                  <a14:compatExt spid="_x0000_s18439"/>
                </a:ext>
                <a:ext uri="{FF2B5EF4-FFF2-40B4-BE49-F238E27FC236}">
                  <a16:creationId xmlns:a16="http://schemas.microsoft.com/office/drawing/2014/main" id="{00000000-0008-0000-0D00-000007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335280</xdr:colOff>
          <xdr:row>0</xdr:row>
          <xdr:rowOff>0</xdr:rowOff>
        </xdr:from>
        <xdr:to>
          <xdr:col>19</xdr:col>
          <xdr:colOff>38100</xdr:colOff>
          <xdr:row>1</xdr:row>
          <xdr:rowOff>60960</xdr:rowOff>
        </xdr:to>
        <xdr:sp macro="" textlink="">
          <xdr:nvSpPr>
            <xdr:cNvPr id="18440" name="CommandButton4" hidden="1">
              <a:extLst>
                <a:ext uri="{63B3BB69-23CF-44E3-9099-C40C66FF867C}">
                  <a14:compatExt spid="_x0000_s18440"/>
                </a:ext>
                <a:ext uri="{FF2B5EF4-FFF2-40B4-BE49-F238E27FC236}">
                  <a16:creationId xmlns:a16="http://schemas.microsoft.com/office/drawing/2014/main" id="{00000000-0008-0000-0D00-000008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10</xdr:col>
      <xdr:colOff>266700</xdr:colOff>
      <xdr:row>0</xdr:row>
      <xdr:rowOff>314325</xdr:rowOff>
    </xdr:from>
    <xdr:to>
      <xdr:col>10</xdr:col>
      <xdr:colOff>571500</xdr:colOff>
      <xdr:row>2</xdr:row>
      <xdr:rowOff>0</xdr:rowOff>
    </xdr:to>
    <xdr:pic>
      <xdr:nvPicPr>
        <xdr:cNvPr id="2" name="Gráfico 1" descr="Bolas de Harvey 60% com preenchimento sólido">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34675" y="314325"/>
          <a:ext cx="304800" cy="285750"/>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3" name="Gráfico 3" descr="Casa com preenchimento sólido">
          <a:hlinkClick xmlns:r="http://schemas.openxmlformats.org/officeDocument/2006/relationships" r:id="rId3"/>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1050"/>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4" name="Seta: para a Esquerda 4">
          <a:hlinkClick xmlns:r="http://schemas.openxmlformats.org/officeDocument/2006/relationships" r:id="rId6"/>
          <a:extLst>
            <a:ext uri="{FF2B5EF4-FFF2-40B4-BE49-F238E27FC236}">
              <a16:creationId xmlns:a16="http://schemas.microsoft.com/office/drawing/2014/main" id="{00000000-0008-0000-0E00-000004000000}"/>
            </a:ext>
          </a:extLst>
        </xdr:cNvPr>
        <xdr:cNvSpPr/>
      </xdr:nvSpPr>
      <xdr:spPr>
        <a:xfrm>
          <a:off x="211950" y="685800"/>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3</xdr:col>
          <xdr:colOff>457200</xdr:colOff>
          <xdr:row>0</xdr:row>
          <xdr:rowOff>144780</xdr:rowOff>
        </xdr:from>
        <xdr:to>
          <xdr:col>5</xdr:col>
          <xdr:colOff>152400</xdr:colOff>
          <xdr:row>1</xdr:row>
          <xdr:rowOff>198120</xdr:rowOff>
        </xdr:to>
        <xdr:sp macro="" textlink="">
          <xdr:nvSpPr>
            <xdr:cNvPr id="19457" name="CommandButton5"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0</xdr:row>
          <xdr:rowOff>144780</xdr:rowOff>
        </xdr:from>
        <xdr:to>
          <xdr:col>6</xdr:col>
          <xdr:colOff>449580</xdr:colOff>
          <xdr:row>1</xdr:row>
          <xdr:rowOff>205740</xdr:rowOff>
        </xdr:to>
        <xdr:sp macro="" textlink="">
          <xdr:nvSpPr>
            <xdr:cNvPr id="19458" name="CommandButton6"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0</xdr:row>
          <xdr:rowOff>152400</xdr:rowOff>
        </xdr:from>
        <xdr:to>
          <xdr:col>8</xdr:col>
          <xdr:colOff>60960</xdr:colOff>
          <xdr:row>1</xdr:row>
          <xdr:rowOff>213360</xdr:rowOff>
        </xdr:to>
        <xdr:sp macro="" textlink="">
          <xdr:nvSpPr>
            <xdr:cNvPr id="19459" name="CommandButton7" hidden="1">
              <a:extLst>
                <a:ext uri="{63B3BB69-23CF-44E3-9099-C40C66FF867C}">
                  <a14:compatExt spid="_x0000_s19459"/>
                </a:ext>
                <a:ext uri="{FF2B5EF4-FFF2-40B4-BE49-F238E27FC236}">
                  <a16:creationId xmlns:a16="http://schemas.microsoft.com/office/drawing/2014/main" id="{00000000-0008-0000-0E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0</xdr:row>
          <xdr:rowOff>0</xdr:rowOff>
        </xdr:from>
        <xdr:to>
          <xdr:col>17</xdr:col>
          <xdr:colOff>327660</xdr:colOff>
          <xdr:row>1</xdr:row>
          <xdr:rowOff>60960</xdr:rowOff>
        </xdr:to>
        <xdr:sp macro="" textlink="">
          <xdr:nvSpPr>
            <xdr:cNvPr id="19460" name="CommandButton8" hidden="1">
              <a:extLst>
                <a:ext uri="{63B3BB69-23CF-44E3-9099-C40C66FF867C}">
                  <a14:compatExt spid="_x0000_s19460"/>
                </a:ext>
                <a:ext uri="{FF2B5EF4-FFF2-40B4-BE49-F238E27FC236}">
                  <a16:creationId xmlns:a16="http://schemas.microsoft.com/office/drawing/2014/main" id="{00000000-0008-0000-0E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10</xdr:col>
      <xdr:colOff>266700</xdr:colOff>
      <xdr:row>0</xdr:row>
      <xdr:rowOff>314325</xdr:rowOff>
    </xdr:from>
    <xdr:to>
      <xdr:col>10</xdr:col>
      <xdr:colOff>571500</xdr:colOff>
      <xdr:row>2</xdr:row>
      <xdr:rowOff>0</xdr:rowOff>
    </xdr:to>
    <xdr:pic>
      <xdr:nvPicPr>
        <xdr:cNvPr id="5" name="Gráfico 4" descr="Bolas de Harvey 60% com preenchimento sólido">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85020" y="314325"/>
          <a:ext cx="304800" cy="287655"/>
        </a:xfrm>
        <a:prstGeom prst="rect">
          <a:avLst/>
        </a:prstGeom>
      </xdr:spPr>
    </xdr:pic>
    <xdr:clientData/>
  </xdr:twoCellAnchor>
  <xdr:twoCellAnchor editAs="oneCell">
    <xdr:from>
      <xdr:col>1</xdr:col>
      <xdr:colOff>114300</xdr:colOff>
      <xdr:row>0</xdr:row>
      <xdr:rowOff>0</xdr:rowOff>
    </xdr:from>
    <xdr:to>
      <xdr:col>1</xdr:col>
      <xdr:colOff>752475</xdr:colOff>
      <xdr:row>2</xdr:row>
      <xdr:rowOff>30975</xdr:rowOff>
    </xdr:to>
    <xdr:pic>
      <xdr:nvPicPr>
        <xdr:cNvPr id="6" name="Gráfico 3" descr="Casa com preenchimento sólido">
          <a:hlinkClick xmlns:r="http://schemas.openxmlformats.org/officeDocument/2006/relationships" r:id="rId3"/>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4300" y="0"/>
          <a:ext cx="638175" cy="632955"/>
        </a:xfrm>
        <a:prstGeom prst="rect">
          <a:avLst/>
        </a:prstGeom>
      </xdr:spPr>
    </xdr:pic>
    <xdr:clientData/>
  </xdr:twoCellAnchor>
  <xdr:twoCellAnchor>
    <xdr:from>
      <xdr:col>1</xdr:col>
      <xdr:colOff>211950</xdr:colOff>
      <xdr:row>2</xdr:row>
      <xdr:rowOff>85725</xdr:rowOff>
    </xdr:from>
    <xdr:to>
      <xdr:col>1</xdr:col>
      <xdr:colOff>582033</xdr:colOff>
      <xdr:row>2</xdr:row>
      <xdr:rowOff>333375</xdr:rowOff>
    </xdr:to>
    <xdr:sp macro="" textlink="">
      <xdr:nvSpPr>
        <xdr:cNvPr id="7" name="Seta: para a Esquerda 4">
          <a:hlinkClick xmlns:r="http://schemas.openxmlformats.org/officeDocument/2006/relationships" r:id="rId6"/>
          <a:extLst>
            <a:ext uri="{FF2B5EF4-FFF2-40B4-BE49-F238E27FC236}">
              <a16:creationId xmlns:a16="http://schemas.microsoft.com/office/drawing/2014/main" id="{00000000-0008-0000-0E00-000007000000}"/>
            </a:ext>
          </a:extLst>
        </xdr:cNvPr>
        <xdr:cNvSpPr/>
      </xdr:nvSpPr>
      <xdr:spPr>
        <a:xfrm>
          <a:off x="211950" y="687705"/>
          <a:ext cx="370083" cy="247650"/>
        </a:xfrm>
        <a:prstGeom prst="leftArrow">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247650</xdr:colOff>
      <xdr:row>0</xdr:row>
      <xdr:rowOff>0</xdr:rowOff>
    </xdr:from>
    <xdr:to>
      <xdr:col>0</xdr:col>
      <xdr:colOff>742950</xdr:colOff>
      <xdr:row>1</xdr:row>
      <xdr:rowOff>0</xdr:rowOff>
    </xdr:to>
    <xdr:pic>
      <xdr:nvPicPr>
        <xdr:cNvPr id="3" name="Gráfico 2" descr="Casa com preenchimento sólido">
          <a:hlinkClick xmlns:r="http://schemas.openxmlformats.org/officeDocument/2006/relationships" r:id="rId1"/>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7650" y="0"/>
          <a:ext cx="495300" cy="495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357188</xdr:colOff>
      <xdr:row>0</xdr:row>
      <xdr:rowOff>0</xdr:rowOff>
    </xdr:from>
    <xdr:to>
      <xdr:col>0</xdr:col>
      <xdr:colOff>852488</xdr:colOff>
      <xdr:row>0</xdr:row>
      <xdr:rowOff>476250</xdr:rowOff>
    </xdr:to>
    <xdr:pic>
      <xdr:nvPicPr>
        <xdr:cNvPr id="2" name="Gráfico 2" descr="Casa com preenchimento sólido">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7188" y="0"/>
          <a:ext cx="495300" cy="47625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Ornilio Neto" id="{E57860EA-961A-4589-A2B4-4A4E35EA080A}" userId="9946dcde002e91da"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M3" dT="2026-06-27T02:04:26.89" personId="{E57860EA-961A-4589-A2B4-4A4E35EA080A}" id="{C6BBCC3E-B2ED-4E8C-BA61-347A8E29F2FC}">
    <text>Realizar questoes, avaliar desempenho</text>
  </threadedComment>
</ThreadedComments>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2.vml"/><Relationship Id="rId1" Type="http://schemas.openxmlformats.org/officeDocument/2006/relationships/drawing" Target="../drawings/drawing5.xml"/><Relationship Id="rId6" Type="http://schemas.openxmlformats.org/officeDocument/2006/relationships/image" Target="../media/image23.emf"/><Relationship Id="rId5" Type="http://schemas.openxmlformats.org/officeDocument/2006/relationships/control" Target="../activeX/activeX6.xml"/><Relationship Id="rId10" Type="http://schemas.openxmlformats.org/officeDocument/2006/relationships/image" Target="../media/image25.emf"/><Relationship Id="rId4" Type="http://schemas.openxmlformats.org/officeDocument/2006/relationships/image" Target="../media/image22.emf"/><Relationship Id="rId9"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3.vml"/><Relationship Id="rId7" Type="http://schemas.openxmlformats.org/officeDocument/2006/relationships/image" Target="../media/image27.emf"/><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ontrol" Target="../activeX/activeX10.xml"/><Relationship Id="rId11" Type="http://schemas.openxmlformats.org/officeDocument/2006/relationships/image" Target="../media/image29.emf"/><Relationship Id="rId5" Type="http://schemas.openxmlformats.org/officeDocument/2006/relationships/image" Target="../media/image26.emf"/><Relationship Id="rId10" Type="http://schemas.openxmlformats.org/officeDocument/2006/relationships/control" Target="../activeX/activeX12.xml"/><Relationship Id="rId4" Type="http://schemas.openxmlformats.org/officeDocument/2006/relationships/control" Target="../activeX/activeX9.xml"/><Relationship Id="rId9" Type="http://schemas.openxmlformats.org/officeDocument/2006/relationships/image" Target="../media/image2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3" Type="http://schemas.openxmlformats.org/officeDocument/2006/relationships/vmlDrawing" Target="../drawings/vmlDrawing4.vml"/><Relationship Id="rId7" Type="http://schemas.openxmlformats.org/officeDocument/2006/relationships/image" Target="../media/image31.emf"/><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ontrol" Target="../activeX/activeX14.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32.emf"/></Relationships>
</file>

<file path=xl/worksheets/_rels/sheet8.x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control" Target="../activeX/activeX17.xml"/><Relationship Id="rId7" Type="http://schemas.openxmlformats.org/officeDocument/2006/relationships/control" Target="../activeX/activeX19.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image" Target="../media/image35.emf"/><Relationship Id="rId5" Type="http://schemas.openxmlformats.org/officeDocument/2006/relationships/control" Target="../activeX/activeX18.xml"/><Relationship Id="rId10" Type="http://schemas.openxmlformats.org/officeDocument/2006/relationships/image" Target="../media/image37.emf"/><Relationship Id="rId4" Type="http://schemas.openxmlformats.org/officeDocument/2006/relationships/image" Target="../media/image34.emf"/><Relationship Id="rId9" Type="http://schemas.openxmlformats.org/officeDocument/2006/relationships/control" Target="../activeX/activeX20.xml"/></Relationships>
</file>

<file path=xl/worksheets/_rels/sheet9.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control" Target="../activeX/activeX21.xml"/><Relationship Id="rId7" Type="http://schemas.openxmlformats.org/officeDocument/2006/relationships/control" Target="../activeX/activeX23.xml"/><Relationship Id="rId2" Type="http://schemas.openxmlformats.org/officeDocument/2006/relationships/vmlDrawing" Target="../drawings/vmlDrawing6.vml"/><Relationship Id="rId1" Type="http://schemas.openxmlformats.org/officeDocument/2006/relationships/drawing" Target="../drawings/drawing9.xml"/><Relationship Id="rId6" Type="http://schemas.openxmlformats.org/officeDocument/2006/relationships/image" Target="../media/image39.emf"/><Relationship Id="rId5" Type="http://schemas.openxmlformats.org/officeDocument/2006/relationships/control" Target="../activeX/activeX22.xml"/><Relationship Id="rId10" Type="http://schemas.openxmlformats.org/officeDocument/2006/relationships/image" Target="../media/image41.emf"/><Relationship Id="rId4" Type="http://schemas.openxmlformats.org/officeDocument/2006/relationships/image" Target="../media/image38.emf"/><Relationship Id="rId9" Type="http://schemas.openxmlformats.org/officeDocument/2006/relationships/control" Target="../activeX/activeX24.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4.emf"/><Relationship Id="rId3" Type="http://schemas.openxmlformats.org/officeDocument/2006/relationships/control" Target="../activeX/activeX25.xml"/><Relationship Id="rId7" Type="http://schemas.openxmlformats.org/officeDocument/2006/relationships/control" Target="../activeX/activeX27.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image" Target="../media/image43.emf"/><Relationship Id="rId5" Type="http://schemas.openxmlformats.org/officeDocument/2006/relationships/control" Target="../activeX/activeX26.xml"/><Relationship Id="rId10" Type="http://schemas.openxmlformats.org/officeDocument/2006/relationships/image" Target="../media/image45.emf"/><Relationship Id="rId4" Type="http://schemas.openxmlformats.org/officeDocument/2006/relationships/image" Target="../media/image42.emf"/><Relationship Id="rId9" Type="http://schemas.openxmlformats.org/officeDocument/2006/relationships/control" Target="../activeX/activeX2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control" Target="../activeX/activeX29.xml"/><Relationship Id="rId7" Type="http://schemas.openxmlformats.org/officeDocument/2006/relationships/control" Target="../activeX/activeX31.xml"/><Relationship Id="rId2" Type="http://schemas.openxmlformats.org/officeDocument/2006/relationships/vmlDrawing" Target="../drawings/vmlDrawing8.vml"/><Relationship Id="rId1" Type="http://schemas.openxmlformats.org/officeDocument/2006/relationships/drawing" Target="../drawings/drawing11.xml"/><Relationship Id="rId6" Type="http://schemas.openxmlformats.org/officeDocument/2006/relationships/image" Target="../media/image47.emf"/><Relationship Id="rId5" Type="http://schemas.openxmlformats.org/officeDocument/2006/relationships/control" Target="../activeX/activeX30.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32.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5.xml"/><Relationship Id="rId3" Type="http://schemas.openxmlformats.org/officeDocument/2006/relationships/vmlDrawing" Target="../drawings/vmlDrawing9.vml"/><Relationship Id="rId7" Type="http://schemas.openxmlformats.org/officeDocument/2006/relationships/image" Target="../media/image51.emf"/><Relationship Id="rId2" Type="http://schemas.openxmlformats.org/officeDocument/2006/relationships/drawing" Target="../drawings/drawing12.xml"/><Relationship Id="rId1" Type="http://schemas.openxmlformats.org/officeDocument/2006/relationships/printerSettings" Target="../printerSettings/printerSettings3.bin"/><Relationship Id="rId6" Type="http://schemas.openxmlformats.org/officeDocument/2006/relationships/control" Target="../activeX/activeX34.xml"/><Relationship Id="rId11" Type="http://schemas.openxmlformats.org/officeDocument/2006/relationships/image" Target="../media/image53.emf"/><Relationship Id="rId5" Type="http://schemas.openxmlformats.org/officeDocument/2006/relationships/image" Target="../media/image50.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52.emf"/></Relationships>
</file>

<file path=xl/worksheets/_rels/sheet13.x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control" Target="../activeX/activeX37.xml"/><Relationship Id="rId7" Type="http://schemas.openxmlformats.org/officeDocument/2006/relationships/control" Target="../activeX/activeX39.xml"/><Relationship Id="rId2" Type="http://schemas.openxmlformats.org/officeDocument/2006/relationships/vmlDrawing" Target="../drawings/vmlDrawing10.vml"/><Relationship Id="rId1" Type="http://schemas.openxmlformats.org/officeDocument/2006/relationships/drawing" Target="../drawings/drawing13.xml"/><Relationship Id="rId6" Type="http://schemas.openxmlformats.org/officeDocument/2006/relationships/image" Target="../media/image55.emf"/><Relationship Id="rId5" Type="http://schemas.openxmlformats.org/officeDocument/2006/relationships/control" Target="../activeX/activeX38.xml"/><Relationship Id="rId10" Type="http://schemas.openxmlformats.org/officeDocument/2006/relationships/image" Target="../media/image57.emf"/><Relationship Id="rId4" Type="http://schemas.openxmlformats.org/officeDocument/2006/relationships/image" Target="../media/image54.emf"/><Relationship Id="rId9" Type="http://schemas.openxmlformats.org/officeDocument/2006/relationships/control" Target="../activeX/activeX40.xml"/></Relationships>
</file>

<file path=xl/worksheets/_rels/sheet14.x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control" Target="../activeX/activeX41.xml"/><Relationship Id="rId7" Type="http://schemas.openxmlformats.org/officeDocument/2006/relationships/control" Target="../activeX/activeX43.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image" Target="../media/image59.emf"/><Relationship Id="rId5" Type="http://schemas.openxmlformats.org/officeDocument/2006/relationships/control" Target="../activeX/activeX42.xml"/><Relationship Id="rId10" Type="http://schemas.openxmlformats.org/officeDocument/2006/relationships/image" Target="../media/image61.emf"/><Relationship Id="rId4" Type="http://schemas.openxmlformats.org/officeDocument/2006/relationships/image" Target="../media/image58.emf"/><Relationship Id="rId9" Type="http://schemas.openxmlformats.org/officeDocument/2006/relationships/control" Target="../activeX/activeX44.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7.xml"/><Relationship Id="rId3" Type="http://schemas.openxmlformats.org/officeDocument/2006/relationships/vmlDrawing" Target="../drawings/vmlDrawing12.vml"/><Relationship Id="rId7" Type="http://schemas.openxmlformats.org/officeDocument/2006/relationships/image" Target="../media/image63.emf"/><Relationship Id="rId2" Type="http://schemas.openxmlformats.org/officeDocument/2006/relationships/drawing" Target="../drawings/drawing15.xml"/><Relationship Id="rId1" Type="http://schemas.openxmlformats.org/officeDocument/2006/relationships/printerSettings" Target="../printerSettings/printerSettings4.bin"/><Relationship Id="rId6" Type="http://schemas.openxmlformats.org/officeDocument/2006/relationships/control" Target="../activeX/activeX46.xml"/><Relationship Id="rId11" Type="http://schemas.openxmlformats.org/officeDocument/2006/relationships/image" Target="../media/image65.emf"/><Relationship Id="rId5" Type="http://schemas.openxmlformats.org/officeDocument/2006/relationships/image" Target="../media/image62.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64.emf"/></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7"/>
  <dimension ref="A1:P104"/>
  <sheetViews>
    <sheetView topLeftCell="B1" zoomScale="90" zoomScaleNormal="90" workbookViewId="0">
      <selection activeCell="B1" sqref="A1:XFD1048576"/>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v>3.2534722222222222E-2</v>
      </c>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105</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98" t="s">
        <v>100</v>
      </c>
      <c r="C5" s="3"/>
      <c r="D5" s="4"/>
      <c r="E5" s="5"/>
      <c r="F5" s="3"/>
      <c r="G5" s="4"/>
      <c r="H5" s="24" t="str">
        <f t="shared" ref="H5:H14" si="0">IF(AND(G5&lt;&gt;"",F5&lt;&gt;""),G5/F5,"")</f>
        <v/>
      </c>
      <c r="I5" s="5"/>
      <c r="J5" s="118"/>
      <c r="K5" s="120">
        <f>COUNTA(B5:B104)</f>
        <v>5</v>
      </c>
      <c r="L5" s="122">
        <f>COUNTIF(E5:E104,"OK")</f>
        <v>0</v>
      </c>
      <c r="M5" s="124">
        <f>IFERROR(K5-L5,"")</f>
        <v>5</v>
      </c>
      <c r="N5" s="1">
        <f>K5</f>
        <v>5</v>
      </c>
    </row>
    <row r="6" spans="1:16" x14ac:dyDescent="0.3">
      <c r="A6" s="1">
        <f>A5+1</f>
        <v>2</v>
      </c>
      <c r="B6" s="98" t="s">
        <v>101</v>
      </c>
      <c r="C6" s="3"/>
      <c r="D6" s="4"/>
      <c r="E6" s="5"/>
      <c r="F6" s="3"/>
      <c r="G6" s="4"/>
      <c r="H6" s="24" t="str">
        <f t="shared" si="0"/>
        <v/>
      </c>
      <c r="I6" s="5"/>
      <c r="J6" s="118"/>
      <c r="K6" s="121"/>
      <c r="L6" s="123"/>
      <c r="M6" s="125"/>
      <c r="N6" s="1">
        <f>L5</f>
        <v>0</v>
      </c>
    </row>
    <row r="7" spans="1:16" ht="15" thickBot="1" x14ac:dyDescent="0.35">
      <c r="A7" s="1">
        <f t="shared" ref="A7:A70" si="1">A6+1</f>
        <v>3</v>
      </c>
      <c r="B7" s="98" t="s">
        <v>102</v>
      </c>
      <c r="C7" s="3"/>
      <c r="D7" s="4"/>
      <c r="E7" s="5"/>
      <c r="F7" s="3"/>
      <c r="G7" s="4"/>
      <c r="H7" s="24" t="str">
        <f t="shared" si="0"/>
        <v/>
      </c>
      <c r="I7" s="5"/>
      <c r="J7" s="118"/>
      <c r="K7" s="18" t="s">
        <v>12</v>
      </c>
      <c r="L7" s="19" t="s">
        <v>14</v>
      </c>
      <c r="M7" s="20" t="s">
        <v>5</v>
      </c>
    </row>
    <row r="8" spans="1:16" ht="16.5" customHeight="1" thickTop="1" x14ac:dyDescent="0.3">
      <c r="A8" s="1">
        <f t="shared" si="1"/>
        <v>4</v>
      </c>
      <c r="B8" s="98" t="s">
        <v>103</v>
      </c>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98" t="s">
        <v>104</v>
      </c>
      <c r="C9" s="3"/>
      <c r="D9" s="4"/>
      <c r="E9" s="5"/>
      <c r="F9" s="3"/>
      <c r="G9" s="4"/>
      <c r="H9" s="24" t="str">
        <f t="shared" si="0"/>
        <v/>
      </c>
      <c r="I9" s="5"/>
      <c r="J9" s="118"/>
      <c r="K9" s="121"/>
      <c r="L9" s="123"/>
      <c r="M9" s="127"/>
      <c r="N9" s="1">
        <f>L8</f>
        <v>0</v>
      </c>
    </row>
    <row r="10" spans="1:16" ht="15" thickBot="1" x14ac:dyDescent="0.35">
      <c r="A10" s="1">
        <f t="shared" si="1"/>
        <v>6</v>
      </c>
      <c r="B10" s="2"/>
      <c r="C10" s="3"/>
      <c r="D10" s="4"/>
      <c r="E10" s="5"/>
      <c r="F10" s="3"/>
      <c r="G10" s="4"/>
      <c r="H10" s="24" t="str">
        <f t="shared" si="0"/>
        <v/>
      </c>
      <c r="I10" s="5"/>
      <c r="J10" s="118"/>
      <c r="K10" s="128" t="s">
        <v>17</v>
      </c>
      <c r="L10" s="128"/>
      <c r="M10" s="129"/>
    </row>
    <row r="11" spans="1:16" ht="15" thickTop="1" x14ac:dyDescent="0.3">
      <c r="A11" s="1">
        <f t="shared" si="1"/>
        <v>7</v>
      </c>
      <c r="B11" s="2"/>
      <c r="C11" s="3"/>
      <c r="D11" s="4"/>
      <c r="E11" s="5"/>
      <c r="F11" s="3"/>
      <c r="G11" s="4"/>
      <c r="H11" s="24" t="str">
        <f t="shared" si="0"/>
        <v/>
      </c>
      <c r="I11" s="5"/>
      <c r="J11" s="118"/>
      <c r="K11" s="21" t="s">
        <v>22</v>
      </c>
      <c r="L11" s="130" t="s">
        <v>23</v>
      </c>
      <c r="M11" s="131"/>
    </row>
    <row r="12" spans="1:16" x14ac:dyDescent="0.3">
      <c r="A12" s="1">
        <f t="shared" si="1"/>
        <v>8</v>
      </c>
      <c r="B12" s="2"/>
      <c r="C12" s="3"/>
      <c r="D12" s="4"/>
      <c r="E12" s="5"/>
      <c r="F12" s="3"/>
      <c r="G12" s="4"/>
      <c r="H12" s="24" t="str">
        <f t="shared" si="0"/>
        <v/>
      </c>
      <c r="I12" s="5"/>
      <c r="J12" s="118"/>
      <c r="K12" s="22" t="s">
        <v>18</v>
      </c>
      <c r="L12" s="132"/>
      <c r="M12" s="133"/>
      <c r="N12" s="34" t="str">
        <f>IF(L12="","",L12)</f>
        <v/>
      </c>
    </row>
    <row r="13" spans="1:16" x14ac:dyDescent="0.3">
      <c r="A13" s="1">
        <f t="shared" si="1"/>
        <v>9</v>
      </c>
      <c r="B13" s="2"/>
      <c r="C13" s="3"/>
      <c r="D13" s="4"/>
      <c r="E13" s="5"/>
      <c r="F13" s="3"/>
      <c r="G13" s="4"/>
      <c r="H13" s="24" t="str">
        <f t="shared" si="0"/>
        <v/>
      </c>
      <c r="I13" s="5"/>
      <c r="J13" s="118"/>
      <c r="K13" s="23" t="s">
        <v>19</v>
      </c>
      <c r="L13" s="132"/>
      <c r="M13" s="133"/>
      <c r="N13" s="34" t="str">
        <f>IF(L13="","",L13)</f>
        <v/>
      </c>
    </row>
    <row r="14" spans="1:16" x14ac:dyDescent="0.3">
      <c r="A14" s="1">
        <f t="shared" si="1"/>
        <v>10</v>
      </c>
      <c r="B14" s="2"/>
      <c r="C14" s="3"/>
      <c r="D14" s="4"/>
      <c r="E14" s="5"/>
      <c r="F14" s="3"/>
      <c r="G14" s="4"/>
      <c r="H14" s="24" t="str">
        <f t="shared" si="0"/>
        <v/>
      </c>
      <c r="I14" s="5"/>
      <c r="J14" s="118"/>
      <c r="K14" s="23" t="s">
        <v>20</v>
      </c>
      <c r="L14" s="132"/>
      <c r="M14" s="133"/>
      <c r="N14" s="34" t="str">
        <f>IF(L14="","",L14)</f>
        <v/>
      </c>
    </row>
    <row r="15" spans="1:16" ht="18.75" customHeight="1" thickBot="1" x14ac:dyDescent="0.35">
      <c r="A15" s="1">
        <f t="shared" si="1"/>
        <v>11</v>
      </c>
      <c r="B15" s="2"/>
      <c r="C15" s="3"/>
      <c r="D15" s="4"/>
      <c r="E15" s="5"/>
      <c r="F15" s="3"/>
      <c r="G15" s="4"/>
      <c r="H15" s="25"/>
      <c r="I15" s="5"/>
      <c r="J15" s="118"/>
      <c r="K15" s="128" t="s">
        <v>24</v>
      </c>
      <c r="L15" s="128"/>
      <c r="M15" s="129"/>
    </row>
    <row r="16" spans="1:16" ht="15" thickTop="1" x14ac:dyDescent="0.3">
      <c r="A16" s="1">
        <f t="shared" si="1"/>
        <v>12</v>
      </c>
      <c r="B16" s="2"/>
      <c r="C16" s="3"/>
      <c r="D16" s="4"/>
      <c r="E16" s="5"/>
      <c r="F16" s="3"/>
      <c r="G16" s="4"/>
      <c r="H16" s="25"/>
      <c r="I16" s="5"/>
      <c r="J16" s="118"/>
      <c r="K16" s="134"/>
      <c r="L16" s="135"/>
      <c r="M16" s="136"/>
    </row>
    <row r="17" spans="1:13" x14ac:dyDescent="0.3">
      <c r="A17" s="1">
        <f t="shared" si="1"/>
        <v>13</v>
      </c>
      <c r="B17" s="2"/>
      <c r="C17" s="3"/>
      <c r="D17" s="4"/>
      <c r="E17" s="5"/>
      <c r="F17" s="3"/>
      <c r="G17" s="4"/>
      <c r="H17" s="25"/>
      <c r="I17" s="5"/>
      <c r="J17" s="118"/>
      <c r="K17" s="134"/>
      <c r="L17" s="135"/>
      <c r="M17" s="136"/>
    </row>
    <row r="18" spans="1:13" ht="18.75" customHeight="1" thickBot="1" x14ac:dyDescent="0.35">
      <c r="A18" s="1">
        <f t="shared" si="1"/>
        <v>14</v>
      </c>
      <c r="B18" s="2"/>
      <c r="C18" s="3"/>
      <c r="D18" s="4"/>
      <c r="E18" s="5"/>
      <c r="F18" s="3"/>
      <c r="G18" s="4"/>
      <c r="H18" s="25"/>
      <c r="I18" s="5"/>
      <c r="J18" s="119"/>
      <c r="K18" s="114"/>
      <c r="L18" s="115"/>
      <c r="M18" s="116"/>
    </row>
    <row r="19" spans="1:13" ht="15" thickTop="1" x14ac:dyDescent="0.3">
      <c r="A19" s="1">
        <f t="shared" si="1"/>
        <v>15</v>
      </c>
      <c r="B19" s="2"/>
      <c r="C19" s="3"/>
      <c r="D19" s="4"/>
      <c r="E19" s="5"/>
      <c r="F19" s="3"/>
      <c r="G19" s="4"/>
      <c r="H19" s="25"/>
      <c r="I19" s="5"/>
      <c r="K19" s="14"/>
      <c r="L19" s="14"/>
      <c r="M19" s="14"/>
    </row>
    <row r="20" spans="1:13" x14ac:dyDescent="0.3">
      <c r="A20" s="1">
        <f t="shared" si="1"/>
        <v>16</v>
      </c>
      <c r="B20" s="2"/>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21"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 ref="B1:E1"/>
    <mergeCell ref="K1:M1"/>
    <mergeCell ref="B2:E2"/>
    <mergeCell ref="K2:M2"/>
    <mergeCell ref="C3:E3"/>
    <mergeCell ref="F3:I3"/>
    <mergeCell ref="J3:M3"/>
  </mergeCells>
  <conditionalFormatting sqref="B10:B104">
    <cfRule type="expression" dxfId="15" priority="3">
      <formula>$E10="OK"</formula>
    </cfRule>
  </conditionalFormatting>
  <conditionalFormatting sqref="B7:B9">
    <cfRule type="expression" dxfId="14" priority="2">
      <formula>$E7="OK"</formula>
    </cfRule>
  </conditionalFormatting>
  <conditionalFormatting sqref="B5:B9">
    <cfRule type="expression" dxfId="13"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22532" r:id="rId3" name="CommandButton4">
          <controlPr defaultSize="0" autoLine="0" autoPict="0" r:id="rId4">
            <anchor moveWithCells="1">
              <from>
                <xdr:col>17</xdr:col>
                <xdr:colOff>335280</xdr:colOff>
                <xdr:row>0</xdr:row>
                <xdr:rowOff>0</xdr:rowOff>
              </from>
              <to>
                <xdr:col>18</xdr:col>
                <xdr:colOff>594360</xdr:colOff>
                <xdr:row>1</xdr:row>
                <xdr:rowOff>68580</xdr:rowOff>
              </to>
            </anchor>
          </controlPr>
        </control>
      </mc:Choice>
      <mc:Fallback>
        <control shapeId="22532" r:id="rId3" name="CommandButton4"/>
      </mc:Fallback>
    </mc:AlternateContent>
    <mc:AlternateContent xmlns:mc="http://schemas.openxmlformats.org/markup-compatibility/2006">
      <mc:Choice Requires="x14">
        <control shapeId="22531" r:id="rId5" name="CommandButton3">
          <controlPr defaultSize="0" autoLine="0" autoPict="0" r:id="rId6">
            <anchor moveWithCells="1">
              <from>
                <xdr:col>7</xdr:col>
                <xdr:colOff>754380</xdr:colOff>
                <xdr:row>0</xdr:row>
                <xdr:rowOff>121920</xdr:rowOff>
              </from>
              <to>
                <xdr:col>9</xdr:col>
                <xdr:colOff>182880</xdr:colOff>
                <xdr:row>1</xdr:row>
                <xdr:rowOff>198120</xdr:rowOff>
              </to>
            </anchor>
          </controlPr>
        </control>
      </mc:Choice>
      <mc:Fallback>
        <control shapeId="22531" r:id="rId5" name="CommandButton3"/>
      </mc:Fallback>
    </mc:AlternateContent>
    <mc:AlternateContent xmlns:mc="http://schemas.openxmlformats.org/markup-compatibility/2006">
      <mc:Choice Requires="x14">
        <control shapeId="22530" r:id="rId7" name="CommandButton2">
          <controlPr defaultSize="0" autoLine="0" autoPict="0" r:id="rId8">
            <anchor moveWithCells="1">
              <from>
                <xdr:col>6</xdr:col>
                <xdr:colOff>373380</xdr:colOff>
                <xdr:row>0</xdr:row>
                <xdr:rowOff>121920</xdr:rowOff>
              </from>
              <to>
                <xdr:col>7</xdr:col>
                <xdr:colOff>579120</xdr:colOff>
                <xdr:row>1</xdr:row>
                <xdr:rowOff>198120</xdr:rowOff>
              </to>
            </anchor>
          </controlPr>
        </control>
      </mc:Choice>
      <mc:Fallback>
        <control shapeId="22530" r:id="rId7" name="CommandButton2"/>
      </mc:Fallback>
    </mc:AlternateContent>
    <mc:AlternateContent xmlns:mc="http://schemas.openxmlformats.org/markup-compatibility/2006">
      <mc:Choice Requires="x14">
        <control shapeId="22529" r:id="rId9" name="CommandButton1">
          <controlPr defaultSize="0" autoLine="0" autoPict="0" r:id="rId10">
            <anchor moveWithCells="1">
              <from>
                <xdr:col>5</xdr:col>
                <xdr:colOff>30480</xdr:colOff>
                <xdr:row>0</xdr:row>
                <xdr:rowOff>137160</xdr:rowOff>
              </from>
              <to>
                <xdr:col>6</xdr:col>
                <xdr:colOff>121920</xdr:colOff>
                <xdr:row>1</xdr:row>
                <xdr:rowOff>198120</xdr:rowOff>
              </to>
            </anchor>
          </controlPr>
        </control>
      </mc:Choice>
      <mc:Fallback>
        <control shapeId="22529" r:id="rId9"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Base!$A$1:$A$2</xm:f>
          </x14:formula1>
          <xm:sqref>C5:E104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L21"/>
  <sheetViews>
    <sheetView showGridLines="0" showRowColHeaders="0" workbookViewId="0">
      <selection sqref="A1:L1"/>
      <extLst>
        <ext xmlns:xlsdti="http://schemas.microsoft.com/office/spreadsheetml/2023/showDataTypeIcons" uri="{77bfe23e-c014-4d31-8a63-9c772dbf06b6}">
          <xlsdti:showDataTypeIcons visible="0"/>
        </ext>
      </extLst>
    </sheetView>
  </sheetViews>
  <sheetFormatPr defaultColWidth="9.109375" defaultRowHeight="14.4" x14ac:dyDescent="0.3"/>
  <cols>
    <col min="1" max="1" width="28.21875" style="38" customWidth="1"/>
    <col min="2" max="2" width="15.6640625" style="38" customWidth="1"/>
    <col min="3" max="3" width="14.88671875" style="38" customWidth="1"/>
    <col min="4" max="4" width="15.109375" style="38" customWidth="1"/>
    <col min="5" max="5" width="20" style="39" customWidth="1"/>
    <col min="6" max="6" width="13.77734375" style="38" customWidth="1"/>
    <col min="7" max="7" width="13.6640625" style="38" customWidth="1"/>
    <col min="8" max="8" width="14.33203125" style="38" customWidth="1"/>
    <col min="9" max="16384" width="9.109375" style="38"/>
  </cols>
  <sheetData>
    <row r="1" spans="1:12" s="36" customFormat="1" ht="40.5" customHeight="1" x14ac:dyDescent="0.3">
      <c r="A1" s="137" t="s">
        <v>31</v>
      </c>
      <c r="B1" s="138"/>
      <c r="C1" s="138"/>
      <c r="D1" s="138"/>
      <c r="E1" s="138"/>
      <c r="F1" s="138"/>
      <c r="G1" s="138"/>
      <c r="H1" s="138"/>
      <c r="I1" s="138"/>
      <c r="J1" s="138"/>
      <c r="K1" s="138"/>
      <c r="L1" s="138"/>
    </row>
    <row r="2" spans="1:12" ht="5.25" customHeight="1" x14ac:dyDescent="0.3">
      <c r="A2" s="140"/>
      <c r="B2" s="141"/>
      <c r="C2" s="141"/>
      <c r="D2" s="141"/>
      <c r="E2" s="141"/>
      <c r="F2" s="141"/>
      <c r="G2" s="141"/>
      <c r="H2" s="141"/>
      <c r="I2" s="141"/>
      <c r="J2" s="141"/>
      <c r="K2" s="141"/>
      <c r="L2" s="141"/>
    </row>
    <row r="3" spans="1:12" s="43" customFormat="1" ht="27.75" customHeight="1" x14ac:dyDescent="0.3">
      <c r="A3" s="40" t="s">
        <v>30</v>
      </c>
      <c r="B3" s="41" t="s">
        <v>32</v>
      </c>
      <c r="C3" s="41" t="s">
        <v>33</v>
      </c>
      <c r="D3" s="41" t="s">
        <v>34</v>
      </c>
      <c r="E3" s="42" t="s">
        <v>36</v>
      </c>
      <c r="F3" s="42" t="s">
        <v>39</v>
      </c>
      <c r="G3" s="42" t="s">
        <v>39</v>
      </c>
      <c r="H3" s="42" t="s">
        <v>39</v>
      </c>
      <c r="I3" s="145" t="s">
        <v>24</v>
      </c>
      <c r="J3" s="145"/>
      <c r="K3" s="145"/>
      <c r="L3" s="145"/>
    </row>
    <row r="4" spans="1:12" x14ac:dyDescent="0.3">
      <c r="A4" s="44" t="s">
        <v>35</v>
      </c>
      <c r="B4" s="142" t="s">
        <v>40</v>
      </c>
      <c r="C4" s="143"/>
      <c r="D4" s="143"/>
      <c r="E4" s="144"/>
      <c r="F4" s="142" t="s">
        <v>17</v>
      </c>
      <c r="G4" s="143"/>
      <c r="H4" s="143"/>
      <c r="I4" s="139" t="s">
        <v>24</v>
      </c>
      <c r="J4" s="139"/>
      <c r="K4" s="139"/>
      <c r="L4" s="139"/>
    </row>
    <row r="5" spans="1:12" ht="15.9" customHeight="1" x14ac:dyDescent="0.3">
      <c r="A5" s="45"/>
      <c r="B5" s="45">
        <f>COUNTA('1'!$B$5:$B$103)</f>
        <v>16</v>
      </c>
      <c r="C5" s="46">
        <f>IFERROR((B5-D5)/B5,"")</f>
        <v>0</v>
      </c>
      <c r="D5" s="45">
        <f>B5-COUNTIF('1'!$E$5:$E$103,"OK")</f>
        <v>16</v>
      </c>
      <c r="E5" s="47">
        <f>'1'!P1</f>
        <v>0</v>
      </c>
      <c r="F5" s="48" t="str">
        <f>IFERROR('1'!$N$12,"")</f>
        <v/>
      </c>
      <c r="G5" s="48" t="str">
        <f>IFERROR('1'!$N$13,"")</f>
        <v/>
      </c>
      <c r="H5" s="49" t="str">
        <f>IFERROR('1'!$N$14,"")</f>
        <v/>
      </c>
      <c r="I5" s="139"/>
      <c r="J5" s="139"/>
      <c r="K5" s="139"/>
      <c r="L5" s="139"/>
    </row>
    <row r="6" spans="1:12" ht="15.9" customHeight="1" x14ac:dyDescent="0.3">
      <c r="A6" s="45"/>
      <c r="B6" s="45">
        <f>COUNTA('2'!$B$5:$B$103)</f>
        <v>16</v>
      </c>
      <c r="C6" s="46">
        <f t="shared" ref="C6:C20" si="0">IFERROR((B6-D6)/B6,"")</f>
        <v>0</v>
      </c>
      <c r="D6" s="45">
        <f>B6-COUNTIF('2'!E5:E103,"OK")</f>
        <v>16</v>
      </c>
      <c r="E6" s="47">
        <f>'2'!P1</f>
        <v>0</v>
      </c>
      <c r="F6" s="48" t="str">
        <f>IFERROR('2'!$N$12,"")</f>
        <v/>
      </c>
      <c r="G6" s="48" t="str">
        <f>IFERROR('2'!$N$13,"")</f>
        <v/>
      </c>
      <c r="H6" s="49" t="str">
        <f>IFERROR('2'!$N$14,"")</f>
        <v/>
      </c>
      <c r="I6" s="139"/>
      <c r="J6" s="139"/>
      <c r="K6" s="139"/>
      <c r="L6" s="139"/>
    </row>
    <row r="7" spans="1:12" ht="15.9" customHeight="1" x14ac:dyDescent="0.3">
      <c r="A7" s="45"/>
      <c r="B7" s="45">
        <f>COUNTA('3'!$B$5:$B$103)</f>
        <v>4</v>
      </c>
      <c r="C7" s="46">
        <f t="shared" si="0"/>
        <v>0.25</v>
      </c>
      <c r="D7" s="45">
        <f>B7-COUNTIF('3'!E5:E103,"OK")</f>
        <v>3</v>
      </c>
      <c r="E7" s="47">
        <f>'3'!P1</f>
        <v>0</v>
      </c>
      <c r="F7" s="48" t="str">
        <f>IFERROR('3'!$N$12,"")</f>
        <v/>
      </c>
      <c r="G7" s="48" t="str">
        <f>IFERROR('3'!$N$13,"")</f>
        <v/>
      </c>
      <c r="H7" s="49" t="str">
        <f>IFERROR('3'!$N$14,"")</f>
        <v/>
      </c>
      <c r="I7" s="139"/>
      <c r="J7" s="139"/>
      <c r="K7" s="139"/>
      <c r="L7" s="139"/>
    </row>
    <row r="8" spans="1:12" ht="15.9" customHeight="1" x14ac:dyDescent="0.3">
      <c r="A8" s="45"/>
      <c r="B8" s="45">
        <f>COUNTA('4'!$B$5:$B$103)</f>
        <v>30</v>
      </c>
      <c r="C8" s="46">
        <f t="shared" si="0"/>
        <v>0.26666666666666666</v>
      </c>
      <c r="D8" s="45">
        <f>B8-COUNTIF('4'!E5:E105,"OK")</f>
        <v>22</v>
      </c>
      <c r="E8" s="47">
        <f>'4'!P1</f>
        <v>0</v>
      </c>
      <c r="F8" s="48" t="str">
        <f>IFERROR('4'!$N$12,"")</f>
        <v/>
      </c>
      <c r="G8" s="48" t="str">
        <f>IFERROR('4'!$N$13,"")</f>
        <v/>
      </c>
      <c r="H8" s="49" t="str">
        <f>IFERROR('4'!$N$14,"")</f>
        <v/>
      </c>
      <c r="I8" s="139"/>
      <c r="J8" s="139"/>
      <c r="K8" s="139"/>
      <c r="L8" s="139"/>
    </row>
    <row r="9" spans="1:12" ht="15.9" customHeight="1" x14ac:dyDescent="0.3">
      <c r="A9" s="45"/>
      <c r="B9" s="45">
        <f>COUNTA('5'!$B$5:$B$103)</f>
        <v>31</v>
      </c>
      <c r="C9" s="46">
        <f t="shared" si="0"/>
        <v>3.2258064516129031E-2</v>
      </c>
      <c r="D9" s="45">
        <f>B9-COUNTIF('5'!E5:E105,"OK")</f>
        <v>30</v>
      </c>
      <c r="E9" s="47">
        <f>'5'!P1</f>
        <v>0</v>
      </c>
      <c r="F9" s="66" t="str">
        <f>IFERROR('5'!$N$12,"")</f>
        <v/>
      </c>
      <c r="G9" s="48" t="str">
        <f>IFERROR('5'!$N$13,"")</f>
        <v/>
      </c>
      <c r="H9" s="49" t="str">
        <f>IFERROR('5'!$N$14,"")</f>
        <v/>
      </c>
      <c r="I9" s="139"/>
      <c r="J9" s="139"/>
      <c r="K9" s="139"/>
      <c r="L9" s="139"/>
    </row>
    <row r="10" spans="1:12" ht="15.9" customHeight="1" x14ac:dyDescent="0.3">
      <c r="A10" s="45"/>
      <c r="B10" s="45">
        <f>COUNTA('6'!$B$5:$B$103)</f>
        <v>52</v>
      </c>
      <c r="C10" s="46">
        <f t="shared" si="0"/>
        <v>3.8461538461538464E-2</v>
      </c>
      <c r="D10" s="45">
        <f>B10-COUNTIF('6'!E5:E105,"OK")</f>
        <v>50</v>
      </c>
      <c r="E10" s="47">
        <f>'6'!P1</f>
        <v>0</v>
      </c>
      <c r="F10" s="48" t="str">
        <f>IFERROR('6'!$N$12,"")</f>
        <v/>
      </c>
      <c r="G10" s="48" t="str">
        <f>IFERROR('6'!$N$13,"")</f>
        <v/>
      </c>
      <c r="H10" s="49" t="str">
        <f>IFERROR('6'!$N$14,"")</f>
        <v/>
      </c>
      <c r="I10" s="139"/>
      <c r="J10" s="139"/>
      <c r="K10" s="139"/>
      <c r="L10" s="139"/>
    </row>
    <row r="11" spans="1:12" ht="15.9" customHeight="1" x14ac:dyDescent="0.3">
      <c r="A11" s="45"/>
      <c r="B11" s="45">
        <f>COUNTA('7'!$B$5:$B$103)</f>
        <v>0</v>
      </c>
      <c r="C11" s="46" t="str">
        <f t="shared" si="0"/>
        <v/>
      </c>
      <c r="D11" s="45">
        <f>B11-COUNTIF('7'!E5:E105,"OK")</f>
        <v>0</v>
      </c>
      <c r="E11" s="47">
        <f>'7'!P1</f>
        <v>0</v>
      </c>
      <c r="F11" s="48" t="str">
        <f>IFERROR('7'!$N$12,"")</f>
        <v/>
      </c>
      <c r="G11" s="48" t="str">
        <f>IFERROR('7'!$N$13,"")</f>
        <v/>
      </c>
      <c r="H11" s="49" t="str">
        <f>IFERROR('7'!$N$14,"")</f>
        <v/>
      </c>
      <c r="I11" s="139"/>
      <c r="J11" s="139"/>
      <c r="K11" s="139"/>
      <c r="L11" s="139"/>
    </row>
    <row r="12" spans="1:12" ht="15.9" customHeight="1" x14ac:dyDescent="0.3">
      <c r="A12" s="45"/>
      <c r="B12" s="45">
        <f>COUNTA('8'!$B$5:$B$103)</f>
        <v>44</v>
      </c>
      <c r="C12" s="46">
        <f t="shared" si="0"/>
        <v>0</v>
      </c>
      <c r="D12" s="45">
        <f>B12-COUNTIF('8'!E5:E105,"OK")</f>
        <v>44</v>
      </c>
      <c r="E12" s="47">
        <f>'8'!P2</f>
        <v>0</v>
      </c>
      <c r="F12" s="48" t="str">
        <f>IFERROR('8'!$N$12,"")</f>
        <v/>
      </c>
      <c r="G12" s="48" t="str">
        <f>IFERROR('8'!$N$13,"")</f>
        <v/>
      </c>
      <c r="H12" s="49" t="str">
        <f>IFERROR('8'!$N$14,"")</f>
        <v/>
      </c>
      <c r="I12" s="139" t="s">
        <v>24</v>
      </c>
      <c r="J12" s="139"/>
      <c r="K12" s="139"/>
      <c r="L12" s="139"/>
    </row>
    <row r="13" spans="1:12" ht="15.9" customHeight="1" x14ac:dyDescent="0.3">
      <c r="A13" s="45"/>
      <c r="B13" s="45">
        <f>COUNTA('10'!$B$5:$B$103)</f>
        <v>31</v>
      </c>
      <c r="C13" s="46">
        <f t="shared" si="0"/>
        <v>0.29032258064516131</v>
      </c>
      <c r="D13" s="45">
        <f>B13-COUNTIF('10'!E5:E105,"OK")</f>
        <v>22</v>
      </c>
      <c r="E13" s="47">
        <f>'10'!P3</f>
        <v>0</v>
      </c>
      <c r="F13" s="48" t="str">
        <f>IFERROR('10'!$N$12,"")</f>
        <v/>
      </c>
      <c r="G13" s="48" t="str">
        <f>IFERROR('10'!$N$13,"")</f>
        <v/>
      </c>
      <c r="H13" s="49" t="str">
        <f>IFERROR('10'!$N$14,"")</f>
        <v/>
      </c>
      <c r="I13" s="139"/>
      <c r="J13" s="139"/>
      <c r="K13" s="139"/>
      <c r="L13" s="139"/>
    </row>
    <row r="14" spans="1:12" ht="15.9" customHeight="1" x14ac:dyDescent="0.3">
      <c r="A14" s="45"/>
      <c r="B14" s="45">
        <f>COUNTA('9'!$B$5:$B$103)</f>
        <v>0</v>
      </c>
      <c r="C14" s="46" t="str">
        <f t="shared" si="0"/>
        <v/>
      </c>
      <c r="D14" s="45">
        <f>B14-COUNTIF('9'!E5:E105,"OK")</f>
        <v>0</v>
      </c>
      <c r="E14" s="47">
        <f>'9'!P4</f>
        <v>0</v>
      </c>
      <c r="F14" s="48" t="str">
        <f>IFERROR('9'!$N$12,"")</f>
        <v/>
      </c>
      <c r="G14" s="48" t="str">
        <f>IFERROR('9'!$N$13,"")</f>
        <v/>
      </c>
      <c r="H14" s="49" t="str">
        <f>IFERROR('9'!$N$14,"")</f>
        <v/>
      </c>
      <c r="I14" s="139"/>
      <c r="J14" s="139"/>
      <c r="K14" s="139"/>
      <c r="L14" s="139"/>
    </row>
    <row r="15" spans="1:12" ht="15.9" customHeight="1" x14ac:dyDescent="0.3">
      <c r="A15" s="45"/>
      <c r="B15" s="45">
        <f>COUNTA('11'!$B$5:$B$103)</f>
        <v>7</v>
      </c>
      <c r="C15" s="46">
        <f t="shared" si="0"/>
        <v>0</v>
      </c>
      <c r="D15" s="45">
        <f>B15-COUNTIF('9'!E6:E106,"OK")</f>
        <v>7</v>
      </c>
      <c r="E15" s="47">
        <f>'9'!P5</f>
        <v>0</v>
      </c>
      <c r="F15" s="48"/>
      <c r="G15" s="48" t="str">
        <f>IFERROR('5'!$N$13,"")</f>
        <v/>
      </c>
      <c r="H15" s="49" t="str">
        <f>IFERROR('5'!$N$14,"")</f>
        <v/>
      </c>
      <c r="I15" s="139"/>
      <c r="J15" s="139"/>
      <c r="K15" s="139"/>
      <c r="L15" s="139"/>
    </row>
    <row r="16" spans="1:12" ht="15.9" customHeight="1" x14ac:dyDescent="0.3">
      <c r="A16" s="45"/>
      <c r="B16" s="45"/>
      <c r="C16" s="46" t="str">
        <f t="shared" si="0"/>
        <v/>
      </c>
      <c r="D16" s="45"/>
      <c r="E16" s="47"/>
      <c r="F16" s="48"/>
      <c r="G16" s="48" t="str">
        <f>IFERROR('5'!$N$13,"")</f>
        <v/>
      </c>
      <c r="H16" s="49" t="str">
        <f>IFERROR('5'!$N$14,"")</f>
        <v/>
      </c>
      <c r="I16" s="139"/>
      <c r="J16" s="139"/>
      <c r="K16" s="139"/>
      <c r="L16" s="139"/>
    </row>
    <row r="17" spans="1:12" ht="15.9" customHeight="1" x14ac:dyDescent="0.3">
      <c r="A17" s="45"/>
      <c r="B17" s="45"/>
      <c r="C17" s="46" t="str">
        <f t="shared" si="0"/>
        <v/>
      </c>
      <c r="D17" s="45"/>
      <c r="E17" s="47"/>
      <c r="F17" s="48"/>
      <c r="G17" s="48" t="str">
        <f>IFERROR('5'!$N$13,"")</f>
        <v/>
      </c>
      <c r="H17" s="49" t="str">
        <f>IFERROR('5'!$N$14,"")</f>
        <v/>
      </c>
      <c r="I17" s="139"/>
      <c r="J17" s="139"/>
      <c r="K17" s="139"/>
      <c r="L17" s="139"/>
    </row>
    <row r="18" spans="1:12" ht="15.9" customHeight="1" x14ac:dyDescent="0.3">
      <c r="A18" s="45"/>
      <c r="B18" s="45"/>
      <c r="C18" s="46" t="str">
        <f t="shared" si="0"/>
        <v/>
      </c>
      <c r="D18" s="45"/>
      <c r="E18" s="47"/>
      <c r="F18" s="48"/>
      <c r="G18" s="48" t="str">
        <f>IFERROR('5'!$N$13,"")</f>
        <v/>
      </c>
      <c r="H18" s="49" t="str">
        <f>IFERROR('5'!$N$14,"")</f>
        <v/>
      </c>
      <c r="I18" s="139"/>
      <c r="J18" s="139"/>
      <c r="K18" s="139"/>
      <c r="L18" s="139"/>
    </row>
    <row r="19" spans="1:12" ht="15.9" customHeight="1" x14ac:dyDescent="0.3">
      <c r="A19" s="45"/>
      <c r="B19" s="45"/>
      <c r="C19" s="46" t="str">
        <f t="shared" si="0"/>
        <v/>
      </c>
      <c r="D19" s="45"/>
      <c r="E19" s="47"/>
      <c r="F19" s="48"/>
      <c r="G19" s="48" t="str">
        <f>IFERROR('5'!$N$13,"")</f>
        <v/>
      </c>
      <c r="H19" s="49" t="str">
        <f>IFERROR('5'!$N$14,"")</f>
        <v/>
      </c>
      <c r="I19" s="139"/>
      <c r="J19" s="139"/>
      <c r="K19" s="139"/>
      <c r="L19" s="139"/>
    </row>
    <row r="20" spans="1:12" ht="15.9" customHeight="1" x14ac:dyDescent="0.3">
      <c r="A20" s="45"/>
      <c r="B20" s="45"/>
      <c r="C20" s="46" t="str">
        <f t="shared" si="0"/>
        <v/>
      </c>
      <c r="D20" s="45"/>
      <c r="E20" s="47"/>
      <c r="F20" s="48"/>
      <c r="G20" s="48" t="str">
        <f>IFERROR('5'!$N$13,"")</f>
        <v/>
      </c>
      <c r="H20" s="48" t="str">
        <f>IFERROR('5'!$N$14,"")</f>
        <v/>
      </c>
      <c r="I20" s="139"/>
      <c r="J20" s="139"/>
      <c r="K20" s="139"/>
      <c r="L20" s="139"/>
    </row>
    <row r="21" spans="1:12" s="36" customFormat="1" x14ac:dyDescent="0.3">
      <c r="E21" s="37"/>
    </row>
  </sheetData>
  <mergeCells count="9">
    <mergeCell ref="A1:L1"/>
    <mergeCell ref="I8:L11"/>
    <mergeCell ref="I12:L15"/>
    <mergeCell ref="I16:L20"/>
    <mergeCell ref="A2:L2"/>
    <mergeCell ref="F4:H4"/>
    <mergeCell ref="B4:E4"/>
    <mergeCell ref="I3:L3"/>
    <mergeCell ref="I4:L7"/>
  </mergeCells>
  <pageMargins left="0.511811024" right="0.511811024" top="0.78740157499999996" bottom="0.78740157499999996" header="0.31496062000000002" footer="0.3149606200000000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B1:S21"/>
  <sheetViews>
    <sheetView showGridLines="0" showRowColHeaders="0" zoomScale="90" zoomScaleNormal="90" workbookViewId="0"/>
  </sheetViews>
  <sheetFormatPr defaultColWidth="9.109375" defaultRowHeight="14.4" x14ac:dyDescent="0.3"/>
  <cols>
    <col min="1" max="18" width="9.109375" style="26"/>
    <col min="19" max="19" width="10.33203125" style="26" bestFit="1" customWidth="1"/>
    <col min="20" max="16384" width="9.109375" style="26"/>
  </cols>
  <sheetData>
    <row r="1" spans="2:19" s="27" customFormat="1" ht="25.5" customHeight="1" x14ac:dyDescent="0.3">
      <c r="B1" s="27" t="s">
        <v>96</v>
      </c>
      <c r="C1" s="27" t="s">
        <v>97</v>
      </c>
      <c r="D1" s="27" t="s">
        <v>98</v>
      </c>
    </row>
    <row r="13" spans="2:19" x14ac:dyDescent="0.3">
      <c r="Q13" s="146">
        <v>46278</v>
      </c>
      <c r="R13" s="147"/>
      <c r="S13" s="69">
        <f ca="1">TODAY()</f>
        <v>46231</v>
      </c>
    </row>
    <row r="14" spans="2:19" x14ac:dyDescent="0.3">
      <c r="Q14" s="148"/>
      <c r="R14" s="148"/>
    </row>
    <row r="17" spans="17:18" ht="15" customHeight="1" x14ac:dyDescent="0.3">
      <c r="Q17" s="147">
        <f ca="1">Q13-S13</f>
        <v>47</v>
      </c>
      <c r="R17" s="147"/>
    </row>
    <row r="18" spans="17:18" ht="15" customHeight="1" x14ac:dyDescent="0.3">
      <c r="Q18" s="148"/>
      <c r="R18" s="148"/>
    </row>
    <row r="21" spans="17:18" s="27" customFormat="1" ht="25.5" customHeight="1" x14ac:dyDescent="0.3"/>
  </sheetData>
  <mergeCells count="2">
    <mergeCell ref="Q13:R14"/>
    <mergeCell ref="Q17:R18"/>
  </mergeCell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2"/>
  <dimension ref="A1:W44"/>
  <sheetViews>
    <sheetView zoomScale="80" zoomScaleNormal="80" workbookViewId="0">
      <selection sqref="A1:W1"/>
    </sheetView>
  </sheetViews>
  <sheetFormatPr defaultColWidth="9.109375" defaultRowHeight="14.4" x14ac:dyDescent="0.3"/>
  <cols>
    <col min="1" max="22" width="9.109375" style="26"/>
    <col min="23" max="23" width="9.109375" style="95"/>
    <col min="24" max="16384" width="9.109375" style="26"/>
  </cols>
  <sheetData>
    <row r="1" spans="1:23" ht="42" customHeight="1" x14ac:dyDescent="0.3">
      <c r="A1" s="149" t="s">
        <v>60</v>
      </c>
      <c r="B1" s="149"/>
      <c r="C1" s="149"/>
      <c r="D1" s="149"/>
      <c r="E1" s="149"/>
      <c r="F1" s="149"/>
      <c r="G1" s="149"/>
      <c r="H1" s="149"/>
      <c r="I1" s="149"/>
      <c r="J1" s="149"/>
      <c r="K1" s="149"/>
      <c r="L1" s="149"/>
      <c r="M1" s="149"/>
      <c r="N1" s="149"/>
      <c r="O1" s="149"/>
      <c r="P1" s="149"/>
      <c r="Q1" s="149"/>
      <c r="R1" s="149"/>
      <c r="S1" s="149"/>
      <c r="T1" s="149"/>
      <c r="U1" s="149"/>
      <c r="V1" s="149"/>
      <c r="W1" s="149"/>
    </row>
    <row r="44" spans="23:23" s="97" customFormat="1" x14ac:dyDescent="0.3">
      <c r="W44" s="96"/>
    </row>
  </sheetData>
  <mergeCells count="1">
    <mergeCell ref="A1:W1"/>
  </mergeCells>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3"/>
  <dimension ref="A1:P104"/>
  <sheetViews>
    <sheetView showGridLines="0" showRowColHeaders="0" topLeftCell="B1" zoomScale="90" zoomScaleNormal="90" workbookViewId="0">
      <selection activeCell="D13" sqref="D13"/>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hidden="1" customWidth="1"/>
    <col min="15" max="15" width="0" style="1" hidden="1" customWidth="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0</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100" t="s">
        <v>108</v>
      </c>
      <c r="C5" s="3"/>
      <c r="D5" s="4"/>
      <c r="E5" s="5"/>
      <c r="F5" s="3"/>
      <c r="G5" s="4"/>
      <c r="H5" s="24" t="str">
        <f t="shared" ref="H5:H14" si="0">IF(AND(G5&lt;&gt;"",F5&lt;&gt;""),G5/F5,"")</f>
        <v/>
      </c>
      <c r="I5" s="5"/>
      <c r="J5" s="118"/>
      <c r="K5" s="120">
        <f>COUNTA(B5:B104)</f>
        <v>16</v>
      </c>
      <c r="L5" s="122">
        <f>COUNTIF(E5:E104,"OK")</f>
        <v>0</v>
      </c>
      <c r="M5" s="124">
        <f>IFERROR(K5-L5,"")</f>
        <v>16</v>
      </c>
      <c r="N5" s="1">
        <f>K5</f>
        <v>16</v>
      </c>
    </row>
    <row r="6" spans="1:16" x14ac:dyDescent="0.3">
      <c r="A6" s="1">
        <f>A5+1</f>
        <v>2</v>
      </c>
      <c r="B6" s="100" t="s">
        <v>109</v>
      </c>
      <c r="C6" s="3"/>
      <c r="D6" s="4"/>
      <c r="E6" s="5"/>
      <c r="F6" s="3"/>
      <c r="G6" s="4"/>
      <c r="H6" s="24" t="str">
        <f t="shared" si="0"/>
        <v/>
      </c>
      <c r="I6" s="5"/>
      <c r="J6" s="118"/>
      <c r="K6" s="121"/>
      <c r="L6" s="123"/>
      <c r="M6" s="125"/>
      <c r="N6" s="1">
        <f>L5</f>
        <v>0</v>
      </c>
    </row>
    <row r="7" spans="1:16" ht="15" thickBot="1" x14ac:dyDescent="0.35">
      <c r="A7" s="1">
        <f t="shared" ref="A7:A70" si="1">A6+1</f>
        <v>3</v>
      </c>
      <c r="B7" s="100" t="s">
        <v>110</v>
      </c>
      <c r="C7" s="3"/>
      <c r="D7" s="4"/>
      <c r="E7" s="5"/>
      <c r="F7" s="3"/>
      <c r="G7" s="4"/>
      <c r="H7" s="24" t="str">
        <f t="shared" si="0"/>
        <v/>
      </c>
      <c r="I7" s="5"/>
      <c r="J7" s="118"/>
      <c r="K7" s="18" t="s">
        <v>12</v>
      </c>
      <c r="L7" s="19" t="s">
        <v>14</v>
      </c>
      <c r="M7" s="20" t="s">
        <v>5</v>
      </c>
    </row>
    <row r="8" spans="1:16" ht="15" thickTop="1" x14ac:dyDescent="0.3">
      <c r="A8" s="1">
        <f t="shared" si="1"/>
        <v>4</v>
      </c>
      <c r="B8" s="100" t="s">
        <v>111</v>
      </c>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100" t="s">
        <v>112</v>
      </c>
      <c r="C9" s="3"/>
      <c r="D9" s="4"/>
      <c r="E9" s="5"/>
      <c r="F9" s="3"/>
      <c r="G9" s="4"/>
      <c r="H9" s="24" t="str">
        <f t="shared" si="0"/>
        <v/>
      </c>
      <c r="I9" s="5"/>
      <c r="J9" s="118"/>
      <c r="K9" s="121"/>
      <c r="L9" s="123"/>
      <c r="M9" s="127"/>
      <c r="N9" s="1">
        <f>L8</f>
        <v>0</v>
      </c>
    </row>
    <row r="10" spans="1:16" ht="15" thickBot="1" x14ac:dyDescent="0.35">
      <c r="A10" s="1">
        <f t="shared" si="1"/>
        <v>6</v>
      </c>
      <c r="B10" s="100" t="s">
        <v>274</v>
      </c>
      <c r="C10" s="3"/>
      <c r="D10" s="4"/>
      <c r="E10" s="5"/>
      <c r="F10" s="3"/>
      <c r="G10" s="4"/>
      <c r="H10" s="24" t="str">
        <f t="shared" si="0"/>
        <v/>
      </c>
      <c r="I10" s="5"/>
      <c r="J10" s="118"/>
      <c r="K10" s="128" t="s">
        <v>17</v>
      </c>
      <c r="L10" s="128"/>
      <c r="M10" s="129"/>
    </row>
    <row r="11" spans="1:16" ht="15" thickTop="1" x14ac:dyDescent="0.3">
      <c r="A11" s="1">
        <f t="shared" si="1"/>
        <v>7</v>
      </c>
      <c r="B11" s="100" t="s">
        <v>275</v>
      </c>
      <c r="C11" s="3"/>
      <c r="D11" s="4"/>
      <c r="E11" s="5"/>
      <c r="F11" s="3"/>
      <c r="G11" s="4"/>
      <c r="H11" s="24" t="str">
        <f t="shared" si="0"/>
        <v/>
      </c>
      <c r="I11" s="5"/>
      <c r="J11" s="118"/>
      <c r="K11" s="21" t="s">
        <v>22</v>
      </c>
      <c r="L11" s="130" t="s">
        <v>23</v>
      </c>
      <c r="M11" s="131"/>
    </row>
    <row r="12" spans="1:16" x14ac:dyDescent="0.3">
      <c r="A12" s="1">
        <f t="shared" si="1"/>
        <v>8</v>
      </c>
      <c r="B12" s="100" t="s">
        <v>113</v>
      </c>
      <c r="C12" s="3"/>
      <c r="D12" s="4"/>
      <c r="E12" s="5"/>
      <c r="F12" s="3"/>
      <c r="G12" s="4"/>
      <c r="H12" s="24" t="str">
        <f t="shared" si="0"/>
        <v/>
      </c>
      <c r="I12" s="5"/>
      <c r="J12" s="118"/>
      <c r="K12" s="22" t="s">
        <v>18</v>
      </c>
      <c r="L12" s="132"/>
      <c r="M12" s="133"/>
      <c r="N12" s="35" t="str">
        <f>IFERROR(IF(L12="","",L12),"")</f>
        <v/>
      </c>
    </row>
    <row r="13" spans="1:16" x14ac:dyDescent="0.3">
      <c r="A13" s="1">
        <f t="shared" si="1"/>
        <v>9</v>
      </c>
      <c r="B13" s="100" t="s">
        <v>114</v>
      </c>
      <c r="C13" s="3"/>
      <c r="D13" s="4"/>
      <c r="E13" s="5"/>
      <c r="F13" s="3"/>
      <c r="G13" s="4"/>
      <c r="H13" s="24" t="str">
        <f t="shared" si="0"/>
        <v/>
      </c>
      <c r="I13" s="5"/>
      <c r="J13" s="118"/>
      <c r="K13" s="23" t="s">
        <v>19</v>
      </c>
      <c r="L13" s="132"/>
      <c r="M13" s="133"/>
      <c r="N13" s="35" t="str">
        <f>IFERROR(IF(L13="","",L13),"")</f>
        <v/>
      </c>
    </row>
    <row r="14" spans="1:16" x14ac:dyDescent="0.3">
      <c r="A14" s="1">
        <f t="shared" si="1"/>
        <v>10</v>
      </c>
      <c r="B14" s="100" t="s">
        <v>115</v>
      </c>
      <c r="C14" s="3"/>
      <c r="D14" s="4"/>
      <c r="E14" s="5"/>
      <c r="F14" s="3"/>
      <c r="G14" s="4"/>
      <c r="H14" s="24" t="str">
        <f t="shared" si="0"/>
        <v/>
      </c>
      <c r="I14" s="5"/>
      <c r="J14" s="118"/>
      <c r="K14" s="23" t="s">
        <v>20</v>
      </c>
      <c r="L14" s="132"/>
      <c r="M14" s="133"/>
      <c r="N14" s="35" t="str">
        <f>IFERROR(IF(L14="","",L14),"")</f>
        <v/>
      </c>
    </row>
    <row r="15" spans="1:16" ht="15" thickBot="1" x14ac:dyDescent="0.35">
      <c r="A15" s="1">
        <f t="shared" si="1"/>
        <v>11</v>
      </c>
      <c r="B15" s="100" t="s">
        <v>116</v>
      </c>
      <c r="C15" s="3"/>
      <c r="D15" s="4"/>
      <c r="E15" s="5"/>
      <c r="F15" s="3"/>
      <c r="G15" s="4"/>
      <c r="H15" s="25"/>
      <c r="I15" s="5"/>
      <c r="J15" s="118"/>
      <c r="K15" s="128" t="s">
        <v>24</v>
      </c>
      <c r="L15" s="128"/>
      <c r="M15" s="129"/>
    </row>
    <row r="16" spans="1:16" ht="15" thickTop="1" x14ac:dyDescent="0.3">
      <c r="A16" s="1">
        <f t="shared" si="1"/>
        <v>12</v>
      </c>
      <c r="B16" s="100" t="s">
        <v>117</v>
      </c>
      <c r="C16" s="3"/>
      <c r="D16" s="4"/>
      <c r="E16" s="5"/>
      <c r="F16" s="3"/>
      <c r="G16" s="4"/>
      <c r="H16" s="25"/>
      <c r="I16" s="5"/>
      <c r="J16" s="118"/>
      <c r="K16" s="134"/>
      <c r="L16" s="135"/>
      <c r="M16" s="136"/>
    </row>
    <row r="17" spans="1:13" x14ac:dyDescent="0.3">
      <c r="A17" s="1">
        <f t="shared" si="1"/>
        <v>13</v>
      </c>
      <c r="B17" s="100" t="s">
        <v>118</v>
      </c>
      <c r="C17" s="3"/>
      <c r="D17" s="4"/>
      <c r="E17" s="5"/>
      <c r="F17" s="3"/>
      <c r="G17" s="4"/>
      <c r="H17" s="25"/>
      <c r="I17" s="5"/>
      <c r="J17" s="118"/>
      <c r="K17" s="134"/>
      <c r="L17" s="135"/>
      <c r="M17" s="136"/>
    </row>
    <row r="18" spans="1:13" ht="15" thickBot="1" x14ac:dyDescent="0.35">
      <c r="A18" s="1">
        <f t="shared" si="1"/>
        <v>14</v>
      </c>
      <c r="B18" s="100" t="s">
        <v>119</v>
      </c>
      <c r="C18" s="3"/>
      <c r="D18" s="4"/>
      <c r="E18" s="5"/>
      <c r="F18" s="3"/>
      <c r="G18" s="4"/>
      <c r="H18" s="25"/>
      <c r="I18" s="5"/>
      <c r="J18" s="119"/>
      <c r="K18" s="114"/>
      <c r="L18" s="115"/>
      <c r="M18" s="116"/>
    </row>
    <row r="19" spans="1:13" ht="15" thickTop="1" x14ac:dyDescent="0.3">
      <c r="A19" s="1">
        <f t="shared" si="1"/>
        <v>15</v>
      </c>
      <c r="B19" s="100" t="s">
        <v>120</v>
      </c>
      <c r="C19" s="3"/>
      <c r="D19" s="4"/>
      <c r="E19" s="5"/>
      <c r="F19" s="3"/>
      <c r="G19" s="4"/>
      <c r="H19" s="25"/>
      <c r="I19" s="5"/>
      <c r="K19" s="14"/>
      <c r="L19" s="14"/>
      <c r="M19" s="14"/>
    </row>
    <row r="20" spans="1:13" x14ac:dyDescent="0.3">
      <c r="A20" s="1">
        <f t="shared" si="1"/>
        <v>16</v>
      </c>
      <c r="B20" s="100" t="s">
        <v>121</v>
      </c>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21"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8:K9"/>
    <mergeCell ref="L8:L9"/>
    <mergeCell ref="L11:M11"/>
    <mergeCell ref="L12:M12"/>
    <mergeCell ref="K15:M15"/>
    <mergeCell ref="M8:M9"/>
    <mergeCell ref="K10:M10"/>
    <mergeCell ref="K18:M18"/>
    <mergeCell ref="L13:M13"/>
    <mergeCell ref="B1:E1"/>
    <mergeCell ref="B2:E2"/>
    <mergeCell ref="K1:M1"/>
    <mergeCell ref="K2:M2"/>
    <mergeCell ref="L14:M14"/>
    <mergeCell ref="C3:E3"/>
    <mergeCell ref="F3:I3"/>
    <mergeCell ref="J3:M3"/>
    <mergeCell ref="J4:J18"/>
    <mergeCell ref="K5:K6"/>
    <mergeCell ref="L5:L6"/>
    <mergeCell ref="M5:M6"/>
    <mergeCell ref="K16:M16"/>
    <mergeCell ref="K17:M17"/>
  </mergeCells>
  <conditionalFormatting sqref="B21:B104">
    <cfRule type="expression" dxfId="12" priority="1">
      <formula>$E21="OK"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5122" r:id="rId3" name="CommandButton1">
          <controlPr defaultSize="0" autoLine="0" r:id="rId4">
            <anchor moveWithCells="1">
              <from>
                <xdr:col>5</xdr:col>
                <xdr:colOff>182880</xdr:colOff>
                <xdr:row>0</xdr:row>
                <xdr:rowOff>137160</xdr:rowOff>
              </from>
              <to>
                <xdr:col>6</xdr:col>
                <xdr:colOff>266700</xdr:colOff>
                <xdr:row>1</xdr:row>
                <xdr:rowOff>190500</xdr:rowOff>
              </to>
            </anchor>
          </controlPr>
        </control>
      </mc:Choice>
      <mc:Fallback>
        <control shapeId="5122" r:id="rId3" name="CommandButton1"/>
      </mc:Fallback>
    </mc:AlternateContent>
    <mc:AlternateContent xmlns:mc="http://schemas.openxmlformats.org/markup-compatibility/2006">
      <mc:Choice Requires="x14">
        <control shapeId="5123" r:id="rId5" name="CommandButton2">
          <controlPr defaultSize="0" autoLine="0" r:id="rId6">
            <anchor moveWithCells="1">
              <from>
                <xdr:col>6</xdr:col>
                <xdr:colOff>419100</xdr:colOff>
                <xdr:row>0</xdr:row>
                <xdr:rowOff>137160</xdr:rowOff>
              </from>
              <to>
                <xdr:col>7</xdr:col>
                <xdr:colOff>640080</xdr:colOff>
                <xdr:row>1</xdr:row>
                <xdr:rowOff>198120</xdr:rowOff>
              </to>
            </anchor>
          </controlPr>
        </control>
      </mc:Choice>
      <mc:Fallback>
        <control shapeId="5123" r:id="rId5" name="CommandButton2"/>
      </mc:Fallback>
    </mc:AlternateContent>
    <mc:AlternateContent xmlns:mc="http://schemas.openxmlformats.org/markup-compatibility/2006">
      <mc:Choice Requires="x14">
        <control shapeId="5124" r:id="rId7" name="CommandButton3">
          <controlPr defaultSize="0" autoLine="0" r:id="rId8">
            <anchor moveWithCells="1">
              <from>
                <xdr:col>8</xdr:col>
                <xdr:colOff>7620</xdr:colOff>
                <xdr:row>0</xdr:row>
                <xdr:rowOff>137160</xdr:rowOff>
              </from>
              <to>
                <xdr:col>9</xdr:col>
                <xdr:colOff>304800</xdr:colOff>
                <xdr:row>1</xdr:row>
                <xdr:rowOff>198120</xdr:rowOff>
              </to>
            </anchor>
          </controlPr>
        </control>
      </mc:Choice>
      <mc:Fallback>
        <control shapeId="5124" r:id="rId7" name="CommandButton3"/>
      </mc:Fallback>
    </mc:AlternateContent>
    <mc:AlternateContent xmlns:mc="http://schemas.openxmlformats.org/markup-compatibility/2006">
      <mc:Choice Requires="x14">
        <control shapeId="5125" r:id="rId9" name="CommandButton4">
          <controlPr defaultSize="0" autoLine="0" r:id="rId10">
            <anchor moveWithCells="1">
              <from>
                <xdr:col>16</xdr:col>
                <xdr:colOff>137160</xdr:colOff>
                <xdr:row>0</xdr:row>
                <xdr:rowOff>22860</xdr:rowOff>
              </from>
              <to>
                <xdr:col>17</xdr:col>
                <xdr:colOff>434340</xdr:colOff>
                <xdr:row>1</xdr:row>
                <xdr:rowOff>83820</xdr:rowOff>
              </to>
            </anchor>
          </controlPr>
        </control>
      </mc:Choice>
      <mc:Fallback>
        <control shapeId="5125" r:id="rId9" name="CommandButton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Base!$A$1:$A$2</xm:f>
          </x14:formula1>
          <xm:sqref>C5:E104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4"/>
  <dimension ref="A1:P104"/>
  <sheetViews>
    <sheetView showGridLines="0" showRowColHeaders="0" topLeftCell="B1" zoomScale="90" zoomScaleNormal="90" workbookViewId="0"/>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67" t="s">
        <v>107</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27" thickTop="1" x14ac:dyDescent="0.3">
      <c r="A5" s="1">
        <v>1</v>
      </c>
      <c r="B5" s="2" t="s">
        <v>122</v>
      </c>
      <c r="C5" s="3"/>
      <c r="D5" s="4"/>
      <c r="E5" s="5"/>
      <c r="F5" s="3"/>
      <c r="G5" s="4"/>
      <c r="H5" s="24" t="str">
        <f t="shared" ref="H5:H14" si="0">IF(AND(G5&lt;&gt;"",F5&lt;&gt;""),G5/F5,"")</f>
        <v/>
      </c>
      <c r="I5" s="5"/>
      <c r="J5" s="118"/>
      <c r="K5" s="120">
        <f>COUNTA(B5:B104)</f>
        <v>16</v>
      </c>
      <c r="L5" s="122">
        <f>COUNTIF(E5:E104,"OK")</f>
        <v>0</v>
      </c>
      <c r="M5" s="124">
        <f>IFERROR(K5-L5,"")</f>
        <v>16</v>
      </c>
      <c r="N5" s="1">
        <f>K5</f>
        <v>16</v>
      </c>
    </row>
    <row r="6" spans="1:16" x14ac:dyDescent="0.3">
      <c r="A6" s="1">
        <f>A5+1</f>
        <v>2</v>
      </c>
      <c r="B6" s="2" t="s">
        <v>123</v>
      </c>
      <c r="C6" s="3"/>
      <c r="D6" s="4"/>
      <c r="E6" s="5"/>
      <c r="F6" s="3"/>
      <c r="G6" s="4"/>
      <c r="H6" s="24" t="str">
        <f t="shared" si="0"/>
        <v/>
      </c>
      <c r="I6" s="5"/>
      <c r="J6" s="118"/>
      <c r="K6" s="121"/>
      <c r="L6" s="123"/>
      <c r="M6" s="125"/>
      <c r="N6" s="1">
        <f>L5</f>
        <v>0</v>
      </c>
    </row>
    <row r="7" spans="1:16" ht="27" thickBot="1" x14ac:dyDescent="0.35">
      <c r="A7" s="1">
        <f t="shared" ref="A7:A70" si="1">A6+1</f>
        <v>3</v>
      </c>
      <c r="B7" s="2" t="s">
        <v>276</v>
      </c>
      <c r="C7" s="3"/>
      <c r="D7" s="4"/>
      <c r="E7" s="5"/>
      <c r="F7" s="3"/>
      <c r="G7" s="4"/>
      <c r="H7" s="24" t="str">
        <f t="shared" si="0"/>
        <v/>
      </c>
      <c r="I7" s="5"/>
      <c r="J7" s="118"/>
      <c r="K7" s="18" t="s">
        <v>12</v>
      </c>
      <c r="L7" s="19" t="s">
        <v>14</v>
      </c>
      <c r="M7" s="20" t="s">
        <v>5</v>
      </c>
    </row>
    <row r="8" spans="1:16" ht="15" thickTop="1" x14ac:dyDescent="0.3">
      <c r="A8" s="1">
        <f t="shared" si="1"/>
        <v>4</v>
      </c>
      <c r="B8" s="2" t="s">
        <v>124</v>
      </c>
      <c r="C8" s="3"/>
      <c r="D8" s="4"/>
      <c r="E8" s="5"/>
      <c r="F8" s="3"/>
      <c r="G8" s="4"/>
      <c r="H8" s="24" t="str">
        <f t="shared" si="0"/>
        <v/>
      </c>
      <c r="I8" s="5"/>
      <c r="J8" s="118"/>
      <c r="K8" s="120">
        <f>IFERROR(SUM(F5:F104),"")</f>
        <v>0</v>
      </c>
      <c r="L8" s="122">
        <f>IFERROR(SUM(G5:G104),"")</f>
        <v>0</v>
      </c>
      <c r="M8" s="126" t="str">
        <f>IFERROR(L8/K8,"")</f>
        <v/>
      </c>
      <c r="N8" s="1">
        <f>K8</f>
        <v>0</v>
      </c>
    </row>
    <row r="9" spans="1:16" ht="26.4" x14ac:dyDescent="0.3">
      <c r="A9" s="1">
        <f t="shared" si="1"/>
        <v>5</v>
      </c>
      <c r="B9" s="2" t="s">
        <v>277</v>
      </c>
      <c r="C9" s="3"/>
      <c r="D9" s="4"/>
      <c r="E9" s="5"/>
      <c r="F9" s="3"/>
      <c r="G9" s="4"/>
      <c r="H9" s="24" t="str">
        <f t="shared" si="0"/>
        <v/>
      </c>
      <c r="I9" s="5"/>
      <c r="J9" s="118"/>
      <c r="K9" s="121"/>
      <c r="L9" s="123"/>
      <c r="M9" s="127"/>
      <c r="N9" s="1">
        <f>L8</f>
        <v>0</v>
      </c>
    </row>
    <row r="10" spans="1:16" ht="27" thickBot="1" x14ac:dyDescent="0.35">
      <c r="A10" s="1">
        <f t="shared" si="1"/>
        <v>6</v>
      </c>
      <c r="B10" s="2" t="s">
        <v>125</v>
      </c>
      <c r="C10" s="3"/>
      <c r="D10" s="4"/>
      <c r="E10" s="5"/>
      <c r="F10" s="3"/>
      <c r="G10" s="4"/>
      <c r="H10" s="24" t="str">
        <f t="shared" si="0"/>
        <v/>
      </c>
      <c r="I10" s="5"/>
      <c r="J10" s="118"/>
      <c r="K10" s="128" t="s">
        <v>17</v>
      </c>
      <c r="L10" s="128"/>
      <c r="M10" s="129"/>
    </row>
    <row r="11" spans="1:16" ht="15" thickTop="1" x14ac:dyDescent="0.3">
      <c r="A11" s="1">
        <f t="shared" si="1"/>
        <v>7</v>
      </c>
      <c r="B11" s="2" t="s">
        <v>126</v>
      </c>
      <c r="C11" s="3"/>
      <c r="D11" s="4"/>
      <c r="E11" s="5"/>
      <c r="F11" s="3"/>
      <c r="G11" s="4"/>
      <c r="H11" s="24" t="str">
        <f t="shared" si="0"/>
        <v/>
      </c>
      <c r="I11" s="5"/>
      <c r="J11" s="118"/>
      <c r="K11" s="21" t="s">
        <v>22</v>
      </c>
      <c r="L11" s="130" t="s">
        <v>23</v>
      </c>
      <c r="M11" s="131"/>
    </row>
    <row r="12" spans="1:16" ht="26.4" x14ac:dyDescent="0.3">
      <c r="A12" s="1">
        <f t="shared" si="1"/>
        <v>8</v>
      </c>
      <c r="B12" s="2" t="s">
        <v>278</v>
      </c>
      <c r="C12" s="3"/>
      <c r="D12" s="4"/>
      <c r="E12" s="5"/>
      <c r="F12" s="3"/>
      <c r="G12" s="4"/>
      <c r="H12" s="24" t="str">
        <f t="shared" si="0"/>
        <v/>
      </c>
      <c r="I12" s="5"/>
      <c r="J12" s="118"/>
      <c r="K12" s="22" t="s">
        <v>18</v>
      </c>
      <c r="L12" s="132"/>
      <c r="M12" s="133"/>
      <c r="N12" s="34" t="str">
        <f>IF(L12="","",L12)</f>
        <v/>
      </c>
    </row>
    <row r="13" spans="1:16" ht="26.4" x14ac:dyDescent="0.3">
      <c r="A13" s="1">
        <f t="shared" si="1"/>
        <v>9</v>
      </c>
      <c r="B13" s="2" t="s">
        <v>127</v>
      </c>
      <c r="C13" s="3"/>
      <c r="D13" s="4"/>
      <c r="E13" s="5"/>
      <c r="F13" s="3"/>
      <c r="G13" s="4"/>
      <c r="H13" s="24" t="str">
        <f t="shared" si="0"/>
        <v/>
      </c>
      <c r="I13" s="5"/>
      <c r="J13" s="118"/>
      <c r="K13" s="23" t="s">
        <v>19</v>
      </c>
      <c r="L13" s="132"/>
      <c r="M13" s="133"/>
      <c r="N13" s="34" t="str">
        <f>IF(L13="","",L13)</f>
        <v/>
      </c>
    </row>
    <row r="14" spans="1:16" x14ac:dyDescent="0.3">
      <c r="A14" s="1">
        <f t="shared" si="1"/>
        <v>10</v>
      </c>
      <c r="B14" s="2" t="s">
        <v>128</v>
      </c>
      <c r="C14" s="3"/>
      <c r="D14" s="4"/>
      <c r="E14" s="5"/>
      <c r="F14" s="3"/>
      <c r="G14" s="4"/>
      <c r="H14" s="24" t="str">
        <f t="shared" si="0"/>
        <v/>
      </c>
      <c r="I14" s="5"/>
      <c r="J14" s="118"/>
      <c r="K14" s="23" t="s">
        <v>20</v>
      </c>
      <c r="L14" s="132"/>
      <c r="M14" s="133"/>
      <c r="N14" s="34" t="str">
        <f>IF(L14="","",L14)</f>
        <v/>
      </c>
    </row>
    <row r="15" spans="1:16" ht="27" thickBot="1" x14ac:dyDescent="0.35">
      <c r="A15" s="1">
        <f t="shared" si="1"/>
        <v>11</v>
      </c>
      <c r="B15" s="2" t="s">
        <v>129</v>
      </c>
      <c r="C15" s="3"/>
      <c r="D15" s="4"/>
      <c r="E15" s="5"/>
      <c r="F15" s="3"/>
      <c r="G15" s="4"/>
      <c r="H15" s="25"/>
      <c r="I15" s="5"/>
      <c r="J15" s="118"/>
      <c r="K15" s="128" t="s">
        <v>24</v>
      </c>
      <c r="L15" s="128"/>
      <c r="M15" s="129"/>
    </row>
    <row r="16" spans="1:16" ht="15" thickTop="1" x14ac:dyDescent="0.3">
      <c r="A16" s="1">
        <f t="shared" si="1"/>
        <v>12</v>
      </c>
      <c r="B16" s="2" t="s">
        <v>279</v>
      </c>
      <c r="C16" s="3"/>
      <c r="D16" s="4"/>
      <c r="E16" s="5"/>
      <c r="F16" s="3"/>
      <c r="G16" s="4"/>
      <c r="H16" s="25"/>
      <c r="I16" s="5"/>
      <c r="J16" s="118"/>
      <c r="K16" s="134"/>
      <c r="L16" s="135"/>
      <c r="M16" s="136"/>
    </row>
    <row r="17" spans="1:13" x14ac:dyDescent="0.3">
      <c r="A17" s="1">
        <f t="shared" si="1"/>
        <v>13</v>
      </c>
      <c r="B17" s="2" t="s">
        <v>280</v>
      </c>
      <c r="C17" s="3"/>
      <c r="D17" s="4"/>
      <c r="E17" s="5"/>
      <c r="F17" s="3"/>
      <c r="G17" s="4"/>
      <c r="H17" s="25"/>
      <c r="I17" s="5"/>
      <c r="J17" s="118"/>
      <c r="K17" s="134"/>
      <c r="L17" s="135"/>
      <c r="M17" s="136"/>
    </row>
    <row r="18" spans="1:13" ht="40.200000000000003" thickBot="1" x14ac:dyDescent="0.35">
      <c r="A18" s="1">
        <f t="shared" si="1"/>
        <v>14</v>
      </c>
      <c r="B18" s="2" t="s">
        <v>130</v>
      </c>
      <c r="C18" s="3"/>
      <c r="D18" s="4"/>
      <c r="E18" s="5"/>
      <c r="F18" s="3"/>
      <c r="G18" s="4"/>
      <c r="H18" s="25"/>
      <c r="I18" s="5"/>
      <c r="J18" s="119"/>
      <c r="K18" s="114"/>
      <c r="L18" s="115"/>
      <c r="M18" s="116"/>
    </row>
    <row r="19" spans="1:13" ht="27" thickTop="1" x14ac:dyDescent="0.3">
      <c r="A19" s="1">
        <f t="shared" si="1"/>
        <v>15</v>
      </c>
      <c r="B19" s="2" t="s">
        <v>131</v>
      </c>
      <c r="C19" s="3"/>
      <c r="D19" s="4"/>
      <c r="E19" s="5"/>
      <c r="F19" s="3"/>
      <c r="G19" s="4"/>
      <c r="H19" s="25"/>
      <c r="I19" s="5"/>
      <c r="K19" s="14"/>
      <c r="L19" s="14"/>
      <c r="M19" s="14"/>
    </row>
    <row r="20" spans="1:13" ht="15" x14ac:dyDescent="0.3">
      <c r="A20" s="1">
        <f t="shared" si="1"/>
        <v>16</v>
      </c>
      <c r="B20" s="2" t="s">
        <v>132</v>
      </c>
      <c r="C20" s="3"/>
      <c r="D20" s="4"/>
      <c r="E20" s="5"/>
      <c r="F20" s="3"/>
      <c r="G20" s="4"/>
      <c r="H20" s="25"/>
      <c r="I20" s="5"/>
      <c r="K20" s="99"/>
    </row>
    <row r="21" spans="1:13" ht="15" x14ac:dyDescent="0.3">
      <c r="A21" s="1">
        <f t="shared" si="1"/>
        <v>17</v>
      </c>
      <c r="B21" s="2"/>
      <c r="C21" s="3"/>
      <c r="D21" s="4"/>
      <c r="E21" s="5"/>
      <c r="F21" s="3"/>
      <c r="G21" s="4"/>
      <c r="H21" s="25"/>
      <c r="I21" s="5"/>
      <c r="K21" s="99"/>
    </row>
    <row r="22" spans="1:13" ht="15" x14ac:dyDescent="0.3">
      <c r="A22" s="1">
        <f t="shared" si="1"/>
        <v>18</v>
      </c>
      <c r="B22" s="2"/>
      <c r="C22" s="3"/>
      <c r="D22" s="4"/>
      <c r="E22" s="5"/>
      <c r="F22" s="3"/>
      <c r="G22" s="4"/>
      <c r="H22" s="25"/>
      <c r="I22" s="5"/>
      <c r="K22" s="99"/>
    </row>
    <row r="23" spans="1:13" ht="21" customHeight="1" x14ac:dyDescent="0.3">
      <c r="A23" s="1">
        <f t="shared" si="1"/>
        <v>19</v>
      </c>
      <c r="B23" s="2"/>
      <c r="C23" s="3"/>
      <c r="D23" s="4"/>
      <c r="E23" s="5"/>
      <c r="F23" s="3"/>
      <c r="G23" s="4"/>
      <c r="H23" s="25"/>
      <c r="I23" s="5"/>
      <c r="K23" s="99"/>
    </row>
    <row r="24" spans="1:13" ht="15" x14ac:dyDescent="0.3">
      <c r="A24" s="1">
        <f t="shared" si="1"/>
        <v>20</v>
      </c>
      <c r="B24" s="2"/>
      <c r="C24" s="3"/>
      <c r="D24" s="4"/>
      <c r="E24" s="5"/>
      <c r="F24" s="3"/>
      <c r="G24" s="4"/>
      <c r="H24" s="25"/>
      <c r="I24" s="5"/>
      <c r="K24" s="99"/>
    </row>
    <row r="25" spans="1:13" ht="15" x14ac:dyDescent="0.3">
      <c r="A25" s="1">
        <f t="shared" si="1"/>
        <v>21</v>
      </c>
      <c r="B25" s="2"/>
      <c r="C25" s="3"/>
      <c r="D25" s="4"/>
      <c r="E25" s="5"/>
      <c r="F25" s="3"/>
      <c r="G25" s="4"/>
      <c r="H25" s="25"/>
      <c r="I25" s="5"/>
      <c r="K25" s="99"/>
    </row>
    <row r="26" spans="1:13" ht="15" x14ac:dyDescent="0.3">
      <c r="A26" s="1">
        <f t="shared" si="1"/>
        <v>22</v>
      </c>
      <c r="B26" s="2"/>
      <c r="C26" s="3"/>
      <c r="D26" s="4"/>
      <c r="E26" s="5"/>
      <c r="F26" s="3"/>
      <c r="G26" s="4"/>
      <c r="H26" s="25"/>
      <c r="I26" s="5"/>
      <c r="K26" s="99"/>
    </row>
    <row r="27" spans="1:13" ht="15" x14ac:dyDescent="0.3">
      <c r="A27" s="1">
        <f t="shared" si="1"/>
        <v>23</v>
      </c>
      <c r="B27" s="2"/>
      <c r="C27" s="3"/>
      <c r="D27" s="4"/>
      <c r="E27" s="5"/>
      <c r="F27" s="3"/>
      <c r="G27" s="4"/>
      <c r="H27" s="25"/>
      <c r="I27" s="5"/>
      <c r="K27" s="99"/>
    </row>
    <row r="28" spans="1:13" ht="15" x14ac:dyDescent="0.3">
      <c r="A28" s="1">
        <f t="shared" si="1"/>
        <v>24</v>
      </c>
      <c r="B28" s="2"/>
      <c r="C28" s="3"/>
      <c r="D28" s="4"/>
      <c r="E28" s="5"/>
      <c r="F28" s="3"/>
      <c r="G28" s="4"/>
      <c r="H28" s="25"/>
      <c r="I28" s="5"/>
      <c r="K28" s="99"/>
    </row>
    <row r="29" spans="1:13" ht="15" x14ac:dyDescent="0.3">
      <c r="A29" s="1">
        <f t="shared" si="1"/>
        <v>25</v>
      </c>
      <c r="B29" s="2"/>
      <c r="C29" s="3"/>
      <c r="D29" s="4"/>
      <c r="E29" s="5"/>
      <c r="F29" s="3"/>
      <c r="G29" s="4"/>
      <c r="H29" s="25"/>
      <c r="I29" s="5"/>
      <c r="K29" s="99"/>
    </row>
    <row r="30" spans="1:13" ht="15" x14ac:dyDescent="0.3">
      <c r="A30" s="1">
        <f t="shared" si="1"/>
        <v>26</v>
      </c>
      <c r="B30" s="2"/>
      <c r="C30" s="3"/>
      <c r="D30" s="4"/>
      <c r="E30" s="5"/>
      <c r="F30" s="3"/>
      <c r="G30" s="4"/>
      <c r="H30" s="25"/>
      <c r="I30" s="5"/>
      <c r="K30" s="99"/>
    </row>
    <row r="31" spans="1:13" ht="15" x14ac:dyDescent="0.3">
      <c r="A31" s="1">
        <f t="shared" si="1"/>
        <v>27</v>
      </c>
      <c r="B31" s="2"/>
      <c r="C31" s="3"/>
      <c r="D31" s="4"/>
      <c r="E31" s="5"/>
      <c r="F31" s="3"/>
      <c r="G31" s="4"/>
      <c r="H31" s="25"/>
      <c r="I31" s="5"/>
      <c r="K31" s="99"/>
    </row>
    <row r="32" spans="1:13" ht="15" x14ac:dyDescent="0.3">
      <c r="A32" s="1">
        <f t="shared" si="1"/>
        <v>28</v>
      </c>
      <c r="B32" s="2"/>
      <c r="C32" s="3"/>
      <c r="D32" s="4"/>
      <c r="E32" s="5"/>
      <c r="F32" s="3"/>
      <c r="G32" s="4"/>
      <c r="H32" s="25"/>
      <c r="I32" s="5"/>
      <c r="K32" s="99"/>
    </row>
    <row r="33" spans="1:11" ht="15" x14ac:dyDescent="0.3">
      <c r="A33" s="1">
        <f t="shared" si="1"/>
        <v>29</v>
      </c>
      <c r="B33" s="2"/>
      <c r="C33" s="3"/>
      <c r="D33" s="4"/>
      <c r="E33" s="5"/>
      <c r="F33" s="3"/>
      <c r="G33" s="4"/>
      <c r="H33" s="25"/>
      <c r="I33" s="5"/>
      <c r="K33" s="99"/>
    </row>
    <row r="34" spans="1:11" ht="15" x14ac:dyDescent="0.3">
      <c r="A34" s="1">
        <f t="shared" si="1"/>
        <v>30</v>
      </c>
      <c r="B34" s="2"/>
      <c r="C34" s="3"/>
      <c r="D34" s="4"/>
      <c r="E34" s="5"/>
      <c r="F34" s="3"/>
      <c r="G34" s="4"/>
      <c r="H34" s="25"/>
      <c r="I34" s="5"/>
      <c r="K34" s="99"/>
    </row>
    <row r="35" spans="1:11" ht="15" x14ac:dyDescent="0.3">
      <c r="A35" s="1">
        <f t="shared" si="1"/>
        <v>31</v>
      </c>
      <c r="B35" s="2"/>
      <c r="C35" s="3"/>
      <c r="D35" s="4"/>
      <c r="E35" s="5"/>
      <c r="F35" s="3"/>
      <c r="G35" s="4"/>
      <c r="H35" s="25"/>
      <c r="I35" s="5"/>
      <c r="K35" s="99"/>
    </row>
    <row r="36" spans="1:11" ht="15" x14ac:dyDescent="0.3">
      <c r="A36" s="1">
        <f t="shared" si="1"/>
        <v>32</v>
      </c>
      <c r="B36" s="2"/>
      <c r="C36" s="3"/>
      <c r="D36" s="4"/>
      <c r="E36" s="5"/>
      <c r="F36" s="3"/>
      <c r="G36" s="4"/>
      <c r="H36" s="25"/>
      <c r="I36" s="5"/>
      <c r="K36" s="99"/>
    </row>
    <row r="37" spans="1:11" ht="15" x14ac:dyDescent="0.3">
      <c r="A37" s="1">
        <f t="shared" si="1"/>
        <v>33</v>
      </c>
      <c r="B37" s="2"/>
      <c r="C37" s="3"/>
      <c r="D37" s="4"/>
      <c r="E37" s="5"/>
      <c r="F37" s="3"/>
      <c r="G37" s="4"/>
      <c r="H37" s="25"/>
      <c r="I37" s="5"/>
      <c r="K37" s="99"/>
    </row>
    <row r="38" spans="1:11" ht="15" x14ac:dyDescent="0.3">
      <c r="A38" s="1">
        <f t="shared" si="1"/>
        <v>34</v>
      </c>
      <c r="B38" s="2"/>
      <c r="C38" s="3"/>
      <c r="D38" s="4"/>
      <c r="E38" s="5"/>
      <c r="F38" s="3"/>
      <c r="G38" s="4"/>
      <c r="H38" s="25"/>
      <c r="I38" s="5"/>
      <c r="K38" s="99"/>
    </row>
    <row r="39" spans="1:11" x14ac:dyDescent="0.3">
      <c r="A39" s="1">
        <f t="shared" si="1"/>
        <v>35</v>
      </c>
      <c r="B39" s="2"/>
      <c r="C39" s="3"/>
      <c r="D39" s="4"/>
      <c r="E39" s="5"/>
      <c r="F39" s="3"/>
      <c r="G39" s="4"/>
      <c r="H39" s="25"/>
      <c r="I39" s="5"/>
    </row>
    <row r="40" spans="1:11" x14ac:dyDescent="0.3">
      <c r="A40" s="1">
        <f t="shared" si="1"/>
        <v>36</v>
      </c>
      <c r="B40" s="2"/>
      <c r="C40" s="3"/>
      <c r="D40" s="4"/>
      <c r="E40" s="5"/>
      <c r="F40" s="3"/>
      <c r="G40" s="4"/>
      <c r="H40" s="25"/>
      <c r="I40" s="5"/>
    </row>
    <row r="41" spans="1:11" x14ac:dyDescent="0.3">
      <c r="A41" s="1">
        <f t="shared" si="1"/>
        <v>37</v>
      </c>
      <c r="B41" s="2"/>
      <c r="C41" s="3"/>
      <c r="D41" s="4"/>
      <c r="E41" s="5"/>
      <c r="F41" s="3"/>
      <c r="G41" s="4"/>
      <c r="H41" s="25"/>
      <c r="I41" s="5"/>
    </row>
    <row r="42" spans="1:11" x14ac:dyDescent="0.3">
      <c r="A42" s="1">
        <f t="shared" si="1"/>
        <v>38</v>
      </c>
      <c r="B42" s="2"/>
      <c r="C42" s="3"/>
      <c r="D42" s="4"/>
      <c r="E42" s="5"/>
      <c r="F42" s="3"/>
      <c r="G42" s="4"/>
      <c r="H42" s="25"/>
      <c r="I42" s="5"/>
    </row>
    <row r="43" spans="1:11" x14ac:dyDescent="0.3">
      <c r="A43" s="1">
        <f t="shared" si="1"/>
        <v>39</v>
      </c>
      <c r="B43" s="2"/>
      <c r="C43" s="3"/>
      <c r="D43" s="4"/>
      <c r="E43" s="5"/>
      <c r="F43" s="3"/>
      <c r="G43" s="4"/>
      <c r="H43" s="25"/>
      <c r="I43" s="5"/>
    </row>
    <row r="44" spans="1:11" x14ac:dyDescent="0.3">
      <c r="A44" s="1">
        <f t="shared" si="1"/>
        <v>40</v>
      </c>
      <c r="B44" s="2"/>
      <c r="C44" s="3"/>
      <c r="D44" s="4"/>
      <c r="E44" s="5"/>
      <c r="F44" s="3"/>
      <c r="G44" s="4"/>
      <c r="H44" s="25"/>
      <c r="I44" s="5"/>
    </row>
    <row r="45" spans="1:11" x14ac:dyDescent="0.3">
      <c r="A45" s="1">
        <f t="shared" si="1"/>
        <v>41</v>
      </c>
      <c r="B45" s="2"/>
      <c r="C45" s="3"/>
      <c r="D45" s="4"/>
      <c r="E45" s="5"/>
      <c r="F45" s="3"/>
      <c r="G45" s="4"/>
      <c r="H45" s="25"/>
      <c r="I45" s="5"/>
    </row>
    <row r="46" spans="1:11" x14ac:dyDescent="0.3">
      <c r="A46" s="1">
        <f t="shared" si="1"/>
        <v>42</v>
      </c>
      <c r="B46" s="2"/>
      <c r="C46" s="3"/>
      <c r="D46" s="4"/>
      <c r="E46" s="5"/>
      <c r="F46" s="3"/>
      <c r="G46" s="4"/>
      <c r="H46" s="25"/>
      <c r="I46" s="5"/>
    </row>
    <row r="47" spans="1:11" x14ac:dyDescent="0.3">
      <c r="A47" s="1">
        <f t="shared" si="1"/>
        <v>43</v>
      </c>
      <c r="B47" s="2"/>
      <c r="C47" s="3"/>
      <c r="D47" s="4"/>
      <c r="E47" s="5"/>
      <c r="F47" s="3"/>
      <c r="G47" s="4"/>
      <c r="H47" s="25"/>
      <c r="I47" s="5"/>
    </row>
    <row r="48" spans="1:11"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8:K9"/>
    <mergeCell ref="L8:L9"/>
    <mergeCell ref="L11:M11"/>
    <mergeCell ref="L12:M12"/>
    <mergeCell ref="K15:M15"/>
    <mergeCell ref="M8:M9"/>
    <mergeCell ref="K10:M10"/>
    <mergeCell ref="K18:M18"/>
    <mergeCell ref="L13:M13"/>
    <mergeCell ref="B1:E1"/>
    <mergeCell ref="K1:M1"/>
    <mergeCell ref="B2:E2"/>
    <mergeCell ref="K2:M2"/>
    <mergeCell ref="L14:M14"/>
    <mergeCell ref="C3:E3"/>
    <mergeCell ref="F3:I3"/>
    <mergeCell ref="J3:M3"/>
    <mergeCell ref="J4:J18"/>
    <mergeCell ref="K5:K6"/>
    <mergeCell ref="L5:L6"/>
    <mergeCell ref="M5:M6"/>
    <mergeCell ref="K16:M16"/>
    <mergeCell ref="K17:M17"/>
  </mergeCells>
  <conditionalFormatting sqref="B5:B104">
    <cfRule type="expression" dxfId="11" priority="1">
      <formula>$E5="OK"</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146" r:id="rId4" name="CommandButton1">
          <controlPr defaultSize="0" autoLine="0" autoPict="0" r:id="rId5">
            <anchor moveWithCells="1">
              <from>
                <xdr:col>3</xdr:col>
                <xdr:colOff>457200</xdr:colOff>
                <xdr:row>0</xdr:row>
                <xdr:rowOff>144780</xdr:rowOff>
              </from>
              <to>
                <xdr:col>5</xdr:col>
                <xdr:colOff>106680</xdr:colOff>
                <xdr:row>1</xdr:row>
                <xdr:rowOff>213360</xdr:rowOff>
              </to>
            </anchor>
          </controlPr>
        </control>
      </mc:Choice>
      <mc:Fallback>
        <control shapeId="6146" r:id="rId4" name="CommandButton1"/>
      </mc:Fallback>
    </mc:AlternateContent>
    <mc:AlternateContent xmlns:mc="http://schemas.openxmlformats.org/markup-compatibility/2006">
      <mc:Choice Requires="x14">
        <control shapeId="6147" r:id="rId6" name="CommandButton2">
          <controlPr defaultSize="0" autoLine="0" r:id="rId7">
            <anchor moveWithCells="1">
              <from>
                <xdr:col>5</xdr:col>
                <xdr:colOff>190500</xdr:colOff>
                <xdr:row>0</xdr:row>
                <xdr:rowOff>152400</xdr:rowOff>
              </from>
              <to>
                <xdr:col>6</xdr:col>
                <xdr:colOff>259080</xdr:colOff>
                <xdr:row>1</xdr:row>
                <xdr:rowOff>220980</xdr:rowOff>
              </to>
            </anchor>
          </controlPr>
        </control>
      </mc:Choice>
      <mc:Fallback>
        <control shapeId="6147" r:id="rId6" name="CommandButton2"/>
      </mc:Fallback>
    </mc:AlternateContent>
    <mc:AlternateContent xmlns:mc="http://schemas.openxmlformats.org/markup-compatibility/2006">
      <mc:Choice Requires="x14">
        <control shapeId="6148" r:id="rId8" name="CommandButton3">
          <controlPr defaultSize="0" autoLine="0" r:id="rId9">
            <anchor moveWithCells="1">
              <from>
                <xdr:col>6</xdr:col>
                <xdr:colOff>342900</xdr:colOff>
                <xdr:row>0</xdr:row>
                <xdr:rowOff>152400</xdr:rowOff>
              </from>
              <to>
                <xdr:col>7</xdr:col>
                <xdr:colOff>510540</xdr:colOff>
                <xdr:row>1</xdr:row>
                <xdr:rowOff>220980</xdr:rowOff>
              </to>
            </anchor>
          </controlPr>
        </control>
      </mc:Choice>
      <mc:Fallback>
        <control shapeId="6148" r:id="rId8" name="CommandButton3"/>
      </mc:Fallback>
    </mc:AlternateContent>
    <mc:AlternateContent xmlns:mc="http://schemas.openxmlformats.org/markup-compatibility/2006">
      <mc:Choice Requires="x14">
        <control shapeId="6149" r:id="rId10" name="CommandButton4">
          <controlPr defaultSize="0" autoLine="0" r:id="rId11">
            <anchor moveWithCells="1">
              <from>
                <xdr:col>16</xdr:col>
                <xdr:colOff>30480</xdr:colOff>
                <xdr:row>0</xdr:row>
                <xdr:rowOff>7620</xdr:rowOff>
              </from>
              <to>
                <xdr:col>17</xdr:col>
                <xdr:colOff>274320</xdr:colOff>
                <xdr:row>1</xdr:row>
                <xdr:rowOff>76200</xdr:rowOff>
              </to>
            </anchor>
          </controlPr>
        </control>
      </mc:Choice>
      <mc:Fallback>
        <control shapeId="6149" r:id="rId10" name="CommandButton4"/>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500-000000000000}">
          <x14:formula1>
            <xm:f>Base!$A$1:$A$2</xm:f>
          </x14:formula1>
          <xm:sqref>C5:E104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5"/>
  <dimension ref="A1:P104"/>
  <sheetViews>
    <sheetView showGridLines="0" showRowColHeaders="0" topLeftCell="B1" workbookViewId="0">
      <selection activeCell="H7" sqref="H7"/>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4.6640625" style="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106</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285</v>
      </c>
      <c r="C5" s="3"/>
      <c r="D5" s="4"/>
      <c r="E5" s="5"/>
      <c r="F5" s="3"/>
      <c r="G5" s="4"/>
      <c r="H5" s="24" t="str">
        <f t="shared" ref="H5:H14" si="0">IF(AND(G5&lt;&gt;"",F5&lt;&gt;""),G5/F5,"")</f>
        <v/>
      </c>
      <c r="I5" s="5"/>
      <c r="J5" s="118"/>
      <c r="K5" s="120">
        <f>COUNTA(B5:B104)</f>
        <v>4</v>
      </c>
      <c r="L5" s="122">
        <f>COUNTIF(E5:E104,"OK")</f>
        <v>1</v>
      </c>
      <c r="M5" s="124">
        <f>IFERROR(K5-L5,"")</f>
        <v>3</v>
      </c>
      <c r="N5" s="1">
        <f>K5</f>
        <v>4</v>
      </c>
    </row>
    <row r="6" spans="1:16" x14ac:dyDescent="0.3">
      <c r="A6" s="1">
        <f>A5+1</f>
        <v>2</v>
      </c>
      <c r="B6" s="2" t="s">
        <v>286</v>
      </c>
      <c r="C6" s="3"/>
      <c r="D6" s="4"/>
      <c r="E6" s="5"/>
      <c r="F6" s="3"/>
      <c r="G6" s="4"/>
      <c r="H6" s="24" t="str">
        <f t="shared" si="0"/>
        <v/>
      </c>
      <c r="I6" s="5"/>
      <c r="J6" s="118"/>
      <c r="K6" s="121"/>
      <c r="L6" s="123"/>
      <c r="M6" s="125"/>
      <c r="N6" s="1">
        <f>L5</f>
        <v>1</v>
      </c>
    </row>
    <row r="7" spans="1:16" ht="27" thickBot="1" x14ac:dyDescent="0.35">
      <c r="A7" s="1">
        <f t="shared" ref="A7:A70" si="1">A6+1</f>
        <v>3</v>
      </c>
      <c r="B7" s="2" t="s">
        <v>287</v>
      </c>
      <c r="C7" s="3" t="s">
        <v>10</v>
      </c>
      <c r="D7" s="4" t="s">
        <v>10</v>
      </c>
      <c r="E7" s="5" t="s">
        <v>10</v>
      </c>
      <c r="F7" s="3">
        <v>104</v>
      </c>
      <c r="G7" s="4">
        <v>77</v>
      </c>
      <c r="H7" s="24">
        <f t="shared" si="0"/>
        <v>0.74038461538461542</v>
      </c>
      <c r="I7" s="5"/>
      <c r="J7" s="118"/>
      <c r="K7" s="18" t="s">
        <v>12</v>
      </c>
      <c r="L7" s="19" t="s">
        <v>14</v>
      </c>
      <c r="M7" s="20" t="s">
        <v>5</v>
      </c>
    </row>
    <row r="8" spans="1:16" ht="15" thickTop="1" x14ac:dyDescent="0.3">
      <c r="A8" s="1">
        <f t="shared" si="1"/>
        <v>4</v>
      </c>
      <c r="B8" s="2" t="s">
        <v>288</v>
      </c>
      <c r="C8" s="3"/>
      <c r="D8" s="4"/>
      <c r="E8" s="5"/>
      <c r="F8" s="3"/>
      <c r="G8" s="4"/>
      <c r="H8" s="24" t="str">
        <f t="shared" si="0"/>
        <v/>
      </c>
      <c r="I8" s="5"/>
      <c r="J8" s="118"/>
      <c r="K8" s="120">
        <f>IFERROR(SUM(F5:F104),"")</f>
        <v>104</v>
      </c>
      <c r="L8" s="122">
        <f>IFERROR(SUM(G5:G104),"")</f>
        <v>77</v>
      </c>
      <c r="M8" s="126">
        <f>IFERROR(L8/K8,"")</f>
        <v>0.74038461538461542</v>
      </c>
      <c r="N8" s="1">
        <f>K8</f>
        <v>104</v>
      </c>
    </row>
    <row r="9" spans="1:16" x14ac:dyDescent="0.3">
      <c r="A9" s="1">
        <f t="shared" si="1"/>
        <v>5</v>
      </c>
      <c r="B9" s="2"/>
      <c r="C9" s="3"/>
      <c r="D9" s="4"/>
      <c r="E9" s="5"/>
      <c r="F9" s="3"/>
      <c r="G9" s="4"/>
      <c r="H9" s="24" t="str">
        <f t="shared" si="0"/>
        <v/>
      </c>
      <c r="I9" s="5"/>
      <c r="J9" s="118"/>
      <c r="K9" s="121"/>
      <c r="L9" s="123"/>
      <c r="M9" s="127"/>
      <c r="N9" s="1">
        <f>L8</f>
        <v>77</v>
      </c>
    </row>
    <row r="10" spans="1:16" ht="15" thickBot="1" x14ac:dyDescent="0.35">
      <c r="A10" s="1">
        <f t="shared" si="1"/>
        <v>6</v>
      </c>
      <c r="B10" s="2"/>
      <c r="C10" s="3"/>
      <c r="D10" s="4"/>
      <c r="E10" s="5"/>
      <c r="F10" s="3"/>
      <c r="G10" s="4"/>
      <c r="H10" s="24" t="str">
        <f t="shared" si="0"/>
        <v/>
      </c>
      <c r="I10" s="5"/>
      <c r="J10" s="118"/>
      <c r="K10" s="128" t="s">
        <v>17</v>
      </c>
      <c r="L10" s="128"/>
      <c r="M10" s="129"/>
    </row>
    <row r="11" spans="1:16" ht="15" thickTop="1" x14ac:dyDescent="0.3">
      <c r="A11" s="1">
        <f t="shared" si="1"/>
        <v>7</v>
      </c>
      <c r="B11" s="2"/>
      <c r="C11" s="3"/>
      <c r="D11" s="4"/>
      <c r="E11" s="5"/>
      <c r="F11" s="3"/>
      <c r="G11" s="4"/>
      <c r="H11" s="24" t="str">
        <f t="shared" si="0"/>
        <v/>
      </c>
      <c r="I11" s="5"/>
      <c r="J11" s="118"/>
      <c r="K11" s="21" t="s">
        <v>22</v>
      </c>
      <c r="L11" s="130" t="s">
        <v>23</v>
      </c>
      <c r="M11" s="131"/>
    </row>
    <row r="12" spans="1:16" x14ac:dyDescent="0.3">
      <c r="A12" s="1">
        <f t="shared" si="1"/>
        <v>8</v>
      </c>
      <c r="B12" s="2"/>
      <c r="C12" s="3"/>
      <c r="D12" s="4"/>
      <c r="E12" s="5"/>
      <c r="F12" s="3"/>
      <c r="G12" s="4"/>
      <c r="H12" s="24" t="str">
        <f t="shared" si="0"/>
        <v/>
      </c>
      <c r="I12" s="5"/>
      <c r="J12" s="118"/>
      <c r="K12" s="22" t="s">
        <v>18</v>
      </c>
      <c r="L12" s="132"/>
      <c r="M12" s="133"/>
      <c r="N12" s="34" t="str">
        <f>IF(L12="","",L12)</f>
        <v/>
      </c>
    </row>
    <row r="13" spans="1:16" x14ac:dyDescent="0.3">
      <c r="A13" s="1">
        <f t="shared" si="1"/>
        <v>9</v>
      </c>
      <c r="B13" s="2"/>
      <c r="C13" s="3"/>
      <c r="D13" s="4"/>
      <c r="E13" s="5"/>
      <c r="F13" s="3"/>
      <c r="G13" s="4"/>
      <c r="H13" s="24" t="str">
        <f t="shared" si="0"/>
        <v/>
      </c>
      <c r="I13" s="5"/>
      <c r="J13" s="118"/>
      <c r="K13" s="23" t="s">
        <v>19</v>
      </c>
      <c r="L13" s="132"/>
      <c r="M13" s="133"/>
      <c r="N13" s="34" t="str">
        <f>IF(L13="","",L13)</f>
        <v/>
      </c>
    </row>
    <row r="14" spans="1:16" x14ac:dyDescent="0.3">
      <c r="A14" s="1">
        <f t="shared" si="1"/>
        <v>10</v>
      </c>
      <c r="B14" s="2"/>
      <c r="C14" s="3"/>
      <c r="D14" s="4"/>
      <c r="E14" s="5"/>
      <c r="F14" s="3"/>
      <c r="G14" s="4"/>
      <c r="H14" s="24" t="str">
        <f t="shared" si="0"/>
        <v/>
      </c>
      <c r="I14" s="5"/>
      <c r="J14" s="118"/>
      <c r="K14" s="23" t="s">
        <v>20</v>
      </c>
      <c r="L14" s="132"/>
      <c r="M14" s="133"/>
      <c r="N14" s="34" t="str">
        <f>IF(L14="","",L14)</f>
        <v/>
      </c>
    </row>
    <row r="15" spans="1:16" ht="18.75" customHeight="1" thickBot="1" x14ac:dyDescent="0.35">
      <c r="A15" s="1">
        <f t="shared" si="1"/>
        <v>11</v>
      </c>
      <c r="B15" s="2"/>
      <c r="C15" s="3"/>
      <c r="D15" s="4"/>
      <c r="E15" s="5"/>
      <c r="F15" s="3"/>
      <c r="G15" s="4"/>
      <c r="H15" s="25"/>
      <c r="I15" s="5"/>
      <c r="J15" s="118"/>
      <c r="K15" s="128" t="s">
        <v>24</v>
      </c>
      <c r="L15" s="128"/>
      <c r="M15" s="129"/>
    </row>
    <row r="16" spans="1:16" ht="15" thickTop="1" x14ac:dyDescent="0.3">
      <c r="A16" s="1">
        <f t="shared" si="1"/>
        <v>12</v>
      </c>
      <c r="B16" s="2"/>
      <c r="C16" s="3"/>
      <c r="D16" s="4"/>
      <c r="E16" s="5"/>
      <c r="F16" s="3"/>
      <c r="G16" s="4"/>
      <c r="H16" s="25"/>
      <c r="I16" s="5"/>
      <c r="J16" s="118"/>
      <c r="K16" s="134"/>
      <c r="L16" s="135"/>
      <c r="M16" s="136"/>
    </row>
    <row r="17" spans="1:13" x14ac:dyDescent="0.3">
      <c r="A17" s="1">
        <f t="shared" si="1"/>
        <v>13</v>
      </c>
      <c r="B17" s="2"/>
      <c r="C17" s="3"/>
      <c r="D17" s="4"/>
      <c r="E17" s="5"/>
      <c r="F17" s="3"/>
      <c r="G17" s="4"/>
      <c r="H17" s="25"/>
      <c r="I17" s="5"/>
      <c r="J17" s="118"/>
      <c r="K17" s="134"/>
      <c r="L17" s="135"/>
      <c r="M17" s="136"/>
    </row>
    <row r="18" spans="1:13" ht="18.75" customHeight="1" thickBot="1" x14ac:dyDescent="0.35">
      <c r="A18" s="1">
        <f t="shared" si="1"/>
        <v>14</v>
      </c>
      <c r="B18" s="2"/>
      <c r="C18" s="3"/>
      <c r="D18" s="4"/>
      <c r="E18" s="5"/>
      <c r="F18" s="3"/>
      <c r="G18" s="4"/>
      <c r="H18" s="25"/>
      <c r="I18" s="5"/>
      <c r="J18" s="119"/>
      <c r="K18" s="114"/>
      <c r="L18" s="115"/>
      <c r="M18" s="116"/>
    </row>
    <row r="19" spans="1:13" ht="15" thickTop="1" x14ac:dyDescent="0.3">
      <c r="A19" s="1">
        <f t="shared" si="1"/>
        <v>15</v>
      </c>
      <c r="B19" s="2"/>
      <c r="C19" s="3"/>
      <c r="D19" s="4"/>
      <c r="E19" s="5"/>
      <c r="F19" s="3"/>
      <c r="G19" s="4"/>
      <c r="H19" s="25"/>
      <c r="I19" s="5"/>
      <c r="K19" s="14"/>
      <c r="L19" s="14"/>
      <c r="M19" s="14"/>
    </row>
    <row r="20" spans="1:13" x14ac:dyDescent="0.3">
      <c r="A20" s="1">
        <f t="shared" si="1"/>
        <v>16</v>
      </c>
      <c r="B20" s="2"/>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14.25"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8:K9"/>
    <mergeCell ref="L8:L9"/>
    <mergeCell ref="L11:M11"/>
    <mergeCell ref="L12:M12"/>
    <mergeCell ref="K15:M15"/>
    <mergeCell ref="M8:M9"/>
    <mergeCell ref="K10:M10"/>
    <mergeCell ref="K18:M18"/>
    <mergeCell ref="L13:M13"/>
    <mergeCell ref="B1:E1"/>
    <mergeCell ref="K1:M1"/>
    <mergeCell ref="B2:E2"/>
    <mergeCell ref="K2:M2"/>
    <mergeCell ref="L14:M14"/>
    <mergeCell ref="C3:E3"/>
    <mergeCell ref="F3:I3"/>
    <mergeCell ref="J3:M3"/>
    <mergeCell ref="J4:J18"/>
    <mergeCell ref="K5:K6"/>
    <mergeCell ref="L5:L6"/>
    <mergeCell ref="M5:M6"/>
    <mergeCell ref="K16:M16"/>
    <mergeCell ref="K17:M17"/>
  </mergeCells>
  <conditionalFormatting sqref="B5:B104">
    <cfRule type="expression" dxfId="10" priority="1">
      <formula>$E5="OK"</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3</xdr:col>
                <xdr:colOff>457200</xdr:colOff>
                <xdr:row>0</xdr:row>
                <xdr:rowOff>144780</xdr:rowOff>
              </from>
              <to>
                <xdr:col>5</xdr:col>
                <xdr:colOff>76200</xdr:colOff>
                <xdr:row>1</xdr:row>
                <xdr:rowOff>213360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defaultSize="0" autoLine="0" r:id="rId7">
            <anchor moveWithCells="1">
              <from>
                <xdr:col>5</xdr:col>
                <xdr:colOff>190500</xdr:colOff>
                <xdr:row>0</xdr:row>
                <xdr:rowOff>152400</xdr:rowOff>
              </from>
              <to>
                <xdr:col>6</xdr:col>
                <xdr:colOff>259080</xdr:colOff>
                <xdr:row>1</xdr:row>
                <xdr:rowOff>220980</xdr:rowOff>
              </to>
            </anchor>
          </controlPr>
        </control>
      </mc:Choice>
      <mc:Fallback>
        <control shapeId="7170" r:id="rId6" name="CommandButton2"/>
      </mc:Fallback>
    </mc:AlternateContent>
    <mc:AlternateContent xmlns:mc="http://schemas.openxmlformats.org/markup-compatibility/2006">
      <mc:Choice Requires="x14">
        <control shapeId="7171" r:id="rId8" name="CommandButton3">
          <controlPr defaultSize="0" autoLine="0" r:id="rId9">
            <anchor moveWithCells="1">
              <from>
                <xdr:col>6</xdr:col>
                <xdr:colOff>342900</xdr:colOff>
                <xdr:row>0</xdr:row>
                <xdr:rowOff>152400</xdr:rowOff>
              </from>
              <to>
                <xdr:col>7</xdr:col>
                <xdr:colOff>510540</xdr:colOff>
                <xdr:row>1</xdr:row>
                <xdr:rowOff>220980</xdr:rowOff>
              </to>
            </anchor>
          </controlPr>
        </control>
      </mc:Choice>
      <mc:Fallback>
        <control shapeId="7171" r:id="rId8" name="CommandButton3"/>
      </mc:Fallback>
    </mc:AlternateContent>
    <mc:AlternateContent xmlns:mc="http://schemas.openxmlformats.org/markup-compatibility/2006">
      <mc:Choice Requires="x14">
        <control shapeId="7172" r:id="rId10" name="CommandButton4">
          <controlPr defaultSize="0" autoLine="0" r:id="rId11">
            <anchor moveWithCells="1">
              <from>
                <xdr:col>16</xdr:col>
                <xdr:colOff>30480</xdr:colOff>
                <xdr:row>0</xdr:row>
                <xdr:rowOff>7620</xdr:rowOff>
              </from>
              <to>
                <xdr:col>17</xdr:col>
                <xdr:colOff>274320</xdr:colOff>
                <xdr:row>1</xdr:row>
                <xdr:rowOff>76200</xdr:rowOff>
              </to>
            </anchor>
          </controlPr>
        </control>
      </mc:Choice>
      <mc:Fallback>
        <control shapeId="7172" r:id="rId10" name="CommandButton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Base!$A$1:$A$2</xm:f>
          </x14:formula1>
          <xm:sqref>C5:E104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6"/>
  <dimension ref="A1:P104"/>
  <sheetViews>
    <sheetView showGridLines="0" showRowColHeaders="0" topLeftCell="B1" zoomScale="90" zoomScaleNormal="90" workbookViewId="0">
      <selection activeCell="H6" sqref="H6"/>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7" style="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67" t="s">
        <v>78</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245</v>
      </c>
      <c r="C5" s="3" t="s">
        <v>10</v>
      </c>
      <c r="D5" s="4" t="s">
        <v>10</v>
      </c>
      <c r="E5" s="5" t="s">
        <v>10</v>
      </c>
      <c r="F5" s="3"/>
      <c r="G5" s="4"/>
      <c r="H5" s="24" t="str">
        <f t="shared" ref="H5:H60" si="0">IF(AND(G5&lt;&gt;"",F5&lt;&gt;""),G5/F5,"")</f>
        <v/>
      </c>
      <c r="I5" s="5"/>
      <c r="J5" s="118"/>
      <c r="K5" s="120">
        <f>COUNTA(B5:B104)</f>
        <v>30</v>
      </c>
      <c r="L5" s="122">
        <f>COUNTIF(E5:E104,"OK")</f>
        <v>8</v>
      </c>
      <c r="M5" s="124">
        <f>IFERROR(K5-L5,"")</f>
        <v>22</v>
      </c>
      <c r="N5" s="1">
        <f>K5</f>
        <v>30</v>
      </c>
    </row>
    <row r="6" spans="1:16" x14ac:dyDescent="0.3">
      <c r="A6" s="1">
        <f>A5+1</f>
        <v>2</v>
      </c>
      <c r="B6" s="2" t="s">
        <v>246</v>
      </c>
      <c r="C6" s="3" t="s">
        <v>10</v>
      </c>
      <c r="D6" s="4" t="s">
        <v>10</v>
      </c>
      <c r="E6" s="5" t="s">
        <v>10</v>
      </c>
      <c r="F6" s="3"/>
      <c r="G6" s="4"/>
      <c r="H6" s="24" t="str">
        <f t="shared" si="0"/>
        <v/>
      </c>
      <c r="I6" s="5"/>
      <c r="J6" s="118"/>
      <c r="K6" s="121"/>
      <c r="L6" s="123"/>
      <c r="M6" s="125"/>
      <c r="N6" s="1">
        <f>L5</f>
        <v>8</v>
      </c>
    </row>
    <row r="7" spans="1:16" ht="15" thickBot="1" x14ac:dyDescent="0.35">
      <c r="A7" s="1">
        <f t="shared" ref="A7:A70" si="1">A6+1</f>
        <v>3</v>
      </c>
      <c r="B7" s="2" t="s">
        <v>247</v>
      </c>
      <c r="C7" s="3" t="s">
        <v>10</v>
      </c>
      <c r="D7" s="4" t="s">
        <v>10</v>
      </c>
      <c r="E7" s="5" t="s">
        <v>10</v>
      </c>
      <c r="F7" s="3"/>
      <c r="G7" s="4"/>
      <c r="H7" s="24" t="str">
        <f t="shared" si="0"/>
        <v/>
      </c>
      <c r="I7" s="5"/>
      <c r="J7" s="118"/>
      <c r="K7" s="18" t="s">
        <v>12</v>
      </c>
      <c r="L7" s="19" t="s">
        <v>14</v>
      </c>
      <c r="M7" s="20" t="s">
        <v>5</v>
      </c>
    </row>
    <row r="8" spans="1:16" ht="16.5" customHeight="1" thickTop="1" x14ac:dyDescent="0.3">
      <c r="A8" s="1">
        <f t="shared" si="1"/>
        <v>4</v>
      </c>
      <c r="B8" s="2" t="s">
        <v>248</v>
      </c>
      <c r="C8" s="3" t="s">
        <v>10</v>
      </c>
      <c r="D8" s="4" t="s">
        <v>10</v>
      </c>
      <c r="E8" s="5" t="s">
        <v>10</v>
      </c>
      <c r="F8" s="3"/>
      <c r="G8" s="4"/>
      <c r="H8" s="24" t="str">
        <f t="shared" si="0"/>
        <v/>
      </c>
      <c r="I8" s="5"/>
      <c r="J8" s="118"/>
      <c r="K8" s="120">
        <f>IFERROR(SUM(F5:F104),"")</f>
        <v>20</v>
      </c>
      <c r="L8" s="122">
        <f>IFERROR(SUM(G5:G104),"")</f>
        <v>19</v>
      </c>
      <c r="M8" s="126">
        <f>IFERROR(L8/K8,"")</f>
        <v>0.95</v>
      </c>
      <c r="N8" s="1">
        <f>K8</f>
        <v>20</v>
      </c>
    </row>
    <row r="9" spans="1:16" x14ac:dyDescent="0.3">
      <c r="A9" s="1">
        <f t="shared" si="1"/>
        <v>5</v>
      </c>
      <c r="B9" s="2" t="s">
        <v>233</v>
      </c>
      <c r="C9" s="3" t="s">
        <v>10</v>
      </c>
      <c r="D9" s="4" t="s">
        <v>10</v>
      </c>
      <c r="E9" s="5" t="s">
        <v>10</v>
      </c>
      <c r="F9" s="3"/>
      <c r="G9" s="4"/>
      <c r="H9" s="24" t="str">
        <f t="shared" si="0"/>
        <v/>
      </c>
      <c r="I9" s="5"/>
      <c r="J9" s="118"/>
      <c r="K9" s="121"/>
      <c r="L9" s="123"/>
      <c r="M9" s="127"/>
      <c r="N9" s="1">
        <f>L8</f>
        <v>19</v>
      </c>
    </row>
    <row r="10" spans="1:16" ht="15" thickBot="1" x14ac:dyDescent="0.35">
      <c r="A10" s="1">
        <f t="shared" si="1"/>
        <v>6</v>
      </c>
      <c r="B10" s="2" t="s">
        <v>249</v>
      </c>
      <c r="C10" s="3"/>
      <c r="D10" s="4"/>
      <c r="E10" s="5"/>
      <c r="F10" s="3"/>
      <c r="G10" s="4"/>
      <c r="H10" s="24" t="str">
        <f t="shared" si="0"/>
        <v/>
      </c>
      <c r="I10" s="5"/>
      <c r="J10" s="118"/>
      <c r="K10" s="128" t="s">
        <v>17</v>
      </c>
      <c r="L10" s="128"/>
      <c r="M10" s="129"/>
    </row>
    <row r="11" spans="1:16" ht="15" thickTop="1" x14ac:dyDescent="0.3">
      <c r="A11" s="1">
        <f t="shared" si="1"/>
        <v>7</v>
      </c>
      <c r="B11" s="2" t="s">
        <v>250</v>
      </c>
      <c r="C11" s="3"/>
      <c r="D11" s="4"/>
      <c r="E11" s="5"/>
      <c r="F11" s="3"/>
      <c r="G11" s="4"/>
      <c r="H11" s="24" t="str">
        <f t="shared" si="0"/>
        <v/>
      </c>
      <c r="I11" s="5"/>
      <c r="J11" s="118"/>
      <c r="K11" s="21" t="s">
        <v>22</v>
      </c>
      <c r="L11" s="130" t="s">
        <v>23</v>
      </c>
      <c r="M11" s="131"/>
    </row>
    <row r="12" spans="1:16" x14ac:dyDescent="0.3">
      <c r="A12" s="1">
        <f t="shared" si="1"/>
        <v>8</v>
      </c>
      <c r="B12" s="2" t="s">
        <v>251</v>
      </c>
      <c r="C12" s="3"/>
      <c r="D12" s="4"/>
      <c r="E12" s="5"/>
      <c r="F12" s="3"/>
      <c r="G12" s="4"/>
      <c r="H12" s="24" t="str">
        <f t="shared" si="0"/>
        <v/>
      </c>
      <c r="I12" s="5"/>
      <c r="J12" s="118"/>
      <c r="K12" s="22" t="s">
        <v>18</v>
      </c>
      <c r="L12" s="132"/>
      <c r="M12" s="133"/>
      <c r="N12" s="34" t="str">
        <f>IF(L12="","",L12)</f>
        <v/>
      </c>
    </row>
    <row r="13" spans="1:16" x14ac:dyDescent="0.3">
      <c r="A13" s="1">
        <f t="shared" si="1"/>
        <v>9</v>
      </c>
      <c r="B13" s="2" t="s">
        <v>252</v>
      </c>
      <c r="C13" s="3"/>
      <c r="D13" s="4"/>
      <c r="E13" s="5"/>
      <c r="F13" s="3"/>
      <c r="G13" s="4"/>
      <c r="H13" s="24" t="str">
        <f t="shared" si="0"/>
        <v/>
      </c>
      <c r="I13" s="5"/>
      <c r="J13" s="118"/>
      <c r="K13" s="23" t="s">
        <v>19</v>
      </c>
      <c r="L13" s="132"/>
      <c r="M13" s="133"/>
      <c r="N13" s="34" t="str">
        <f>IF(L13="","",L13)</f>
        <v/>
      </c>
    </row>
    <row r="14" spans="1:16" x14ac:dyDescent="0.3">
      <c r="A14" s="1">
        <f t="shared" si="1"/>
        <v>10</v>
      </c>
      <c r="B14" s="2" t="s">
        <v>253</v>
      </c>
      <c r="C14" s="3"/>
      <c r="D14" s="4"/>
      <c r="E14" s="5"/>
      <c r="F14" s="3"/>
      <c r="G14" s="4"/>
      <c r="H14" s="24" t="str">
        <f t="shared" si="0"/>
        <v/>
      </c>
      <c r="I14" s="5"/>
      <c r="J14" s="118"/>
      <c r="K14" s="23" t="s">
        <v>20</v>
      </c>
      <c r="L14" s="132"/>
      <c r="M14" s="133"/>
      <c r="N14" s="34" t="str">
        <f>IF(L14="","",L14)</f>
        <v/>
      </c>
    </row>
    <row r="15" spans="1:16" ht="20.25" customHeight="1" thickBot="1" x14ac:dyDescent="0.35">
      <c r="A15" s="1">
        <f t="shared" si="1"/>
        <v>11</v>
      </c>
      <c r="B15" s="2" t="s">
        <v>254</v>
      </c>
      <c r="C15" s="3" t="s">
        <v>10</v>
      </c>
      <c r="D15" s="4" t="s">
        <v>10</v>
      </c>
      <c r="E15" s="5" t="s">
        <v>10</v>
      </c>
      <c r="F15" s="3">
        <v>20</v>
      </c>
      <c r="G15" s="4">
        <v>19</v>
      </c>
      <c r="H15" s="24">
        <f t="shared" si="0"/>
        <v>0.95</v>
      </c>
      <c r="I15" s="5"/>
      <c r="J15" s="118"/>
      <c r="K15" s="128" t="s">
        <v>24</v>
      </c>
      <c r="L15" s="128"/>
      <c r="M15" s="129"/>
    </row>
    <row r="16" spans="1:16" ht="15" thickTop="1" x14ac:dyDescent="0.3">
      <c r="A16" s="1">
        <f t="shared" si="1"/>
        <v>12</v>
      </c>
      <c r="B16" s="2" t="s">
        <v>255</v>
      </c>
      <c r="C16" s="3"/>
      <c r="D16" s="4"/>
      <c r="E16" s="5"/>
      <c r="F16" s="3"/>
      <c r="G16" s="4"/>
      <c r="H16" s="24" t="str">
        <f t="shared" si="0"/>
        <v/>
      </c>
      <c r="I16" s="5"/>
      <c r="J16" s="118"/>
      <c r="K16" s="134"/>
      <c r="L16" s="135"/>
      <c r="M16" s="136"/>
    </row>
    <row r="17" spans="1:13" x14ac:dyDescent="0.3">
      <c r="A17" s="1">
        <f t="shared" si="1"/>
        <v>13</v>
      </c>
      <c r="B17" s="2" t="s">
        <v>256</v>
      </c>
      <c r="C17" s="3"/>
      <c r="D17" s="4"/>
      <c r="E17" s="5"/>
      <c r="F17" s="3"/>
      <c r="G17" s="4"/>
      <c r="H17" s="24" t="str">
        <f t="shared" si="0"/>
        <v/>
      </c>
      <c r="I17" s="5"/>
      <c r="J17" s="118"/>
      <c r="K17" s="134"/>
      <c r="L17" s="135"/>
      <c r="M17" s="136"/>
    </row>
    <row r="18" spans="1:13" ht="18.75" customHeight="1" thickBot="1" x14ac:dyDescent="0.35">
      <c r="A18" s="1">
        <f t="shared" si="1"/>
        <v>14</v>
      </c>
      <c r="B18" s="2" t="s">
        <v>257</v>
      </c>
      <c r="C18" s="3"/>
      <c r="D18" s="4"/>
      <c r="E18" s="5"/>
      <c r="F18" s="3"/>
      <c r="G18" s="4"/>
      <c r="H18" s="24" t="str">
        <f t="shared" si="0"/>
        <v/>
      </c>
      <c r="I18" s="5"/>
      <c r="J18" s="119"/>
      <c r="K18" s="114"/>
      <c r="L18" s="115"/>
      <c r="M18" s="116"/>
    </row>
    <row r="19" spans="1:13" ht="15" thickTop="1" x14ac:dyDescent="0.3">
      <c r="A19" s="1">
        <f t="shared" si="1"/>
        <v>15</v>
      </c>
      <c r="B19" s="2" t="s">
        <v>258</v>
      </c>
      <c r="C19" s="3"/>
      <c r="D19" s="4"/>
      <c r="E19" s="5"/>
      <c r="F19" s="3"/>
      <c r="G19" s="4"/>
      <c r="H19" s="24" t="str">
        <f t="shared" si="0"/>
        <v/>
      </c>
      <c r="I19" s="5"/>
      <c r="K19" s="14"/>
      <c r="L19" s="14"/>
      <c r="M19" s="14"/>
    </row>
    <row r="20" spans="1:13" x14ac:dyDescent="0.3">
      <c r="A20" s="1">
        <f t="shared" si="1"/>
        <v>16</v>
      </c>
      <c r="B20" s="2" t="s">
        <v>259</v>
      </c>
      <c r="C20" s="3"/>
      <c r="D20" s="4"/>
      <c r="E20" s="5"/>
      <c r="F20" s="3"/>
      <c r="G20" s="4"/>
      <c r="H20" s="24" t="str">
        <f t="shared" si="0"/>
        <v/>
      </c>
      <c r="I20" s="5"/>
    </row>
    <row r="21" spans="1:13" x14ac:dyDescent="0.3">
      <c r="A21" s="1">
        <f t="shared" si="1"/>
        <v>17</v>
      </c>
      <c r="B21" s="2" t="s">
        <v>260</v>
      </c>
      <c r="C21" s="3"/>
      <c r="D21" s="4"/>
      <c r="E21" s="5"/>
      <c r="F21" s="3"/>
      <c r="G21" s="4"/>
      <c r="H21" s="24" t="str">
        <f t="shared" si="0"/>
        <v/>
      </c>
      <c r="I21" s="5"/>
    </row>
    <row r="22" spans="1:13" x14ac:dyDescent="0.3">
      <c r="A22" s="1">
        <f t="shared" si="1"/>
        <v>18</v>
      </c>
      <c r="B22" s="2" t="s">
        <v>261</v>
      </c>
      <c r="C22" s="3"/>
      <c r="D22" s="4"/>
      <c r="E22" s="5"/>
      <c r="F22" s="3"/>
      <c r="G22" s="4"/>
      <c r="H22" s="24" t="str">
        <f t="shared" si="0"/>
        <v/>
      </c>
      <c r="I22" s="5"/>
    </row>
    <row r="23" spans="1:13" ht="21" customHeight="1" x14ac:dyDescent="0.3">
      <c r="A23" s="1">
        <f t="shared" si="1"/>
        <v>19</v>
      </c>
      <c r="B23" s="2" t="s">
        <v>262</v>
      </c>
      <c r="C23" s="3" t="s">
        <v>10</v>
      </c>
      <c r="D23" s="4" t="s">
        <v>10</v>
      </c>
      <c r="E23" s="5" t="s">
        <v>10</v>
      </c>
      <c r="F23" s="3"/>
      <c r="G23" s="4"/>
      <c r="H23" s="24" t="str">
        <f t="shared" si="0"/>
        <v/>
      </c>
      <c r="I23" s="5"/>
    </row>
    <row r="24" spans="1:13" x14ac:dyDescent="0.3">
      <c r="A24" s="1">
        <f t="shared" si="1"/>
        <v>20</v>
      </c>
      <c r="B24" s="2" t="s">
        <v>263</v>
      </c>
      <c r="C24" s="3" t="s">
        <v>10</v>
      </c>
      <c r="D24" s="4" t="s">
        <v>10</v>
      </c>
      <c r="E24" s="5" t="s">
        <v>10</v>
      </c>
      <c r="F24" s="3"/>
      <c r="G24" s="4"/>
      <c r="H24" s="24" t="str">
        <f t="shared" si="0"/>
        <v/>
      </c>
      <c r="I24" s="5"/>
    </row>
    <row r="25" spans="1:13" x14ac:dyDescent="0.3">
      <c r="A25" s="1">
        <f t="shared" si="1"/>
        <v>21</v>
      </c>
      <c r="B25" s="2" t="s">
        <v>264</v>
      </c>
      <c r="C25" s="3"/>
      <c r="D25" s="4"/>
      <c r="E25" s="5"/>
      <c r="F25" s="3"/>
      <c r="G25" s="4"/>
      <c r="H25" s="24" t="str">
        <f t="shared" si="0"/>
        <v/>
      </c>
      <c r="I25" s="5"/>
    </row>
    <row r="26" spans="1:13" x14ac:dyDescent="0.3">
      <c r="A26" s="1">
        <f t="shared" si="1"/>
        <v>22</v>
      </c>
      <c r="B26" s="2" t="s">
        <v>265</v>
      </c>
      <c r="C26" s="3"/>
      <c r="D26" s="4"/>
      <c r="E26" s="5"/>
      <c r="F26" s="3"/>
      <c r="G26" s="4"/>
      <c r="H26" s="24" t="str">
        <f t="shared" si="0"/>
        <v/>
      </c>
      <c r="I26" s="5"/>
    </row>
    <row r="27" spans="1:13" x14ac:dyDescent="0.3">
      <c r="A27" s="1">
        <f t="shared" si="1"/>
        <v>23</v>
      </c>
      <c r="B27" s="2" t="s">
        <v>266</v>
      </c>
      <c r="C27" s="3"/>
      <c r="D27" s="4"/>
      <c r="E27" s="5"/>
      <c r="F27" s="3"/>
      <c r="G27" s="4"/>
      <c r="H27" s="24" t="str">
        <f t="shared" si="0"/>
        <v/>
      </c>
      <c r="I27" s="5"/>
    </row>
    <row r="28" spans="1:13" x14ac:dyDescent="0.3">
      <c r="A28" s="1">
        <f t="shared" si="1"/>
        <v>24</v>
      </c>
      <c r="B28" s="2" t="s">
        <v>267</v>
      </c>
      <c r="C28" s="3"/>
      <c r="D28" s="4"/>
      <c r="E28" s="5"/>
      <c r="F28" s="3"/>
      <c r="G28" s="4"/>
      <c r="H28" s="24" t="str">
        <f t="shared" si="0"/>
        <v/>
      </c>
      <c r="I28" s="5"/>
    </row>
    <row r="29" spans="1:13" x14ac:dyDescent="0.3">
      <c r="A29" s="1">
        <f t="shared" si="1"/>
        <v>25</v>
      </c>
      <c r="B29" s="2" t="s">
        <v>268</v>
      </c>
      <c r="C29" s="3"/>
      <c r="D29" s="4"/>
      <c r="E29" s="5"/>
      <c r="F29" s="3"/>
      <c r="G29" s="4"/>
      <c r="H29" s="24" t="str">
        <f t="shared" si="0"/>
        <v/>
      </c>
      <c r="I29" s="5"/>
    </row>
    <row r="30" spans="1:13" x14ac:dyDescent="0.3">
      <c r="A30" s="1">
        <f t="shared" si="1"/>
        <v>26</v>
      </c>
      <c r="B30" s="2" t="s">
        <v>269</v>
      </c>
      <c r="C30" s="3"/>
      <c r="D30" s="4"/>
      <c r="E30" s="5"/>
      <c r="F30" s="3"/>
      <c r="G30" s="4"/>
      <c r="H30" s="24" t="str">
        <f t="shared" si="0"/>
        <v/>
      </c>
      <c r="I30" s="5"/>
    </row>
    <row r="31" spans="1:13" x14ac:dyDescent="0.3">
      <c r="A31" s="1">
        <f t="shared" si="1"/>
        <v>27</v>
      </c>
      <c r="B31" s="2" t="s">
        <v>270</v>
      </c>
      <c r="C31" s="3"/>
      <c r="D31" s="4"/>
      <c r="E31" s="5"/>
      <c r="F31" s="3"/>
      <c r="G31" s="4"/>
      <c r="H31" s="24" t="str">
        <f t="shared" si="0"/>
        <v/>
      </c>
      <c r="I31" s="5"/>
    </row>
    <row r="32" spans="1:13" x14ac:dyDescent="0.3">
      <c r="A32" s="1">
        <f t="shared" si="1"/>
        <v>28</v>
      </c>
      <c r="B32" s="2" t="s">
        <v>271</v>
      </c>
      <c r="C32" s="3"/>
      <c r="D32" s="4"/>
      <c r="E32" s="5"/>
      <c r="F32" s="3"/>
      <c r="G32" s="4"/>
      <c r="H32" s="24" t="str">
        <f t="shared" si="0"/>
        <v/>
      </c>
      <c r="I32" s="5"/>
    </row>
    <row r="33" spans="1:9" x14ac:dyDescent="0.3">
      <c r="A33" s="1">
        <f t="shared" si="1"/>
        <v>29</v>
      </c>
      <c r="B33" s="2" t="s">
        <v>272</v>
      </c>
      <c r="C33" s="3"/>
      <c r="D33" s="4"/>
      <c r="E33" s="5"/>
      <c r="F33" s="3"/>
      <c r="G33" s="4"/>
      <c r="H33" s="24" t="str">
        <f t="shared" si="0"/>
        <v/>
      </c>
      <c r="I33" s="5"/>
    </row>
    <row r="34" spans="1:9" x14ac:dyDescent="0.3">
      <c r="A34" s="1">
        <f t="shared" si="1"/>
        <v>30</v>
      </c>
      <c r="B34" s="2" t="s">
        <v>273</v>
      </c>
      <c r="C34" s="3"/>
      <c r="D34" s="4"/>
      <c r="E34" s="5"/>
      <c r="F34" s="3"/>
      <c r="G34" s="4"/>
      <c r="H34" s="24" t="str">
        <f t="shared" si="0"/>
        <v/>
      </c>
      <c r="I34" s="5"/>
    </row>
    <row r="35" spans="1:9" x14ac:dyDescent="0.3">
      <c r="A35" s="1">
        <f t="shared" si="1"/>
        <v>31</v>
      </c>
      <c r="B35" s="2"/>
      <c r="C35" s="3"/>
      <c r="D35" s="4"/>
      <c r="E35" s="5"/>
      <c r="F35" s="3"/>
      <c r="G35" s="4"/>
      <c r="H35" s="24" t="str">
        <f t="shared" si="0"/>
        <v/>
      </c>
      <c r="I35" s="5"/>
    </row>
    <row r="36" spans="1:9" x14ac:dyDescent="0.3">
      <c r="A36" s="1">
        <f t="shared" si="1"/>
        <v>32</v>
      </c>
      <c r="B36" s="2"/>
      <c r="C36" s="3"/>
      <c r="D36" s="4"/>
      <c r="E36" s="5"/>
      <c r="F36" s="3"/>
      <c r="G36" s="4"/>
      <c r="H36" s="24" t="str">
        <f t="shared" si="0"/>
        <v/>
      </c>
      <c r="I36" s="5"/>
    </row>
    <row r="37" spans="1:9" x14ac:dyDescent="0.3">
      <c r="A37" s="1">
        <f t="shared" si="1"/>
        <v>33</v>
      </c>
      <c r="B37" s="2"/>
      <c r="C37" s="3"/>
      <c r="D37" s="4"/>
      <c r="E37" s="5"/>
      <c r="F37" s="3"/>
      <c r="G37" s="4"/>
      <c r="H37" s="24" t="str">
        <f t="shared" si="0"/>
        <v/>
      </c>
      <c r="I37" s="5"/>
    </row>
    <row r="38" spans="1:9" x14ac:dyDescent="0.3">
      <c r="A38" s="1">
        <f t="shared" si="1"/>
        <v>34</v>
      </c>
      <c r="B38" s="2"/>
      <c r="C38" s="3"/>
      <c r="D38" s="4"/>
      <c r="E38" s="5"/>
      <c r="F38" s="3"/>
      <c r="G38" s="4"/>
      <c r="H38" s="24" t="str">
        <f t="shared" si="0"/>
        <v/>
      </c>
      <c r="I38" s="5"/>
    </row>
    <row r="39" spans="1:9" x14ac:dyDescent="0.3">
      <c r="A39" s="1">
        <f t="shared" si="1"/>
        <v>35</v>
      </c>
      <c r="B39" s="2"/>
      <c r="C39" s="3"/>
      <c r="D39" s="4"/>
      <c r="E39" s="5"/>
      <c r="F39" s="3"/>
      <c r="G39" s="4"/>
      <c r="H39" s="24" t="str">
        <f t="shared" si="0"/>
        <v/>
      </c>
      <c r="I39" s="5"/>
    </row>
    <row r="40" spans="1:9" x14ac:dyDescent="0.3">
      <c r="A40" s="1">
        <f t="shared" si="1"/>
        <v>36</v>
      </c>
      <c r="B40" s="2"/>
      <c r="C40" s="3"/>
      <c r="D40" s="4"/>
      <c r="E40" s="5"/>
      <c r="F40" s="3"/>
      <c r="G40" s="4"/>
      <c r="H40" s="24" t="str">
        <f t="shared" si="0"/>
        <v/>
      </c>
      <c r="I40" s="5"/>
    </row>
    <row r="41" spans="1:9" x14ac:dyDescent="0.3">
      <c r="A41" s="1">
        <f t="shared" si="1"/>
        <v>37</v>
      </c>
      <c r="B41" s="2"/>
      <c r="C41" s="3"/>
      <c r="D41" s="4"/>
      <c r="E41" s="5"/>
      <c r="F41" s="3"/>
      <c r="G41" s="4"/>
      <c r="H41" s="24" t="str">
        <f t="shared" si="0"/>
        <v/>
      </c>
      <c r="I41" s="5"/>
    </row>
    <row r="42" spans="1:9" x14ac:dyDescent="0.3">
      <c r="A42" s="1">
        <f t="shared" si="1"/>
        <v>38</v>
      </c>
      <c r="B42" s="2"/>
      <c r="C42" s="3"/>
      <c r="D42" s="4"/>
      <c r="E42" s="5"/>
      <c r="F42" s="3"/>
      <c r="G42" s="4"/>
      <c r="H42" s="24" t="str">
        <f t="shared" si="0"/>
        <v/>
      </c>
      <c r="I42" s="5"/>
    </row>
    <row r="43" spans="1:9" x14ac:dyDescent="0.3">
      <c r="A43" s="1">
        <f t="shared" si="1"/>
        <v>39</v>
      </c>
      <c r="B43" s="2"/>
      <c r="C43" s="3"/>
      <c r="D43" s="4"/>
      <c r="E43" s="5"/>
      <c r="F43" s="3"/>
      <c r="G43" s="4"/>
      <c r="H43" s="24" t="str">
        <f t="shared" si="0"/>
        <v/>
      </c>
      <c r="I43" s="5"/>
    </row>
    <row r="44" spans="1:9" x14ac:dyDescent="0.3">
      <c r="A44" s="1">
        <f t="shared" si="1"/>
        <v>40</v>
      </c>
      <c r="B44" s="2"/>
      <c r="C44" s="3"/>
      <c r="D44" s="4"/>
      <c r="E44" s="5"/>
      <c r="F44" s="3"/>
      <c r="G44" s="4"/>
      <c r="H44" s="24" t="str">
        <f t="shared" si="0"/>
        <v/>
      </c>
      <c r="I44" s="5"/>
    </row>
    <row r="45" spans="1:9" x14ac:dyDescent="0.3">
      <c r="A45" s="1">
        <f t="shared" si="1"/>
        <v>41</v>
      </c>
      <c r="B45" s="2"/>
      <c r="C45" s="3"/>
      <c r="D45" s="4"/>
      <c r="E45" s="5"/>
      <c r="F45" s="3"/>
      <c r="G45" s="4"/>
      <c r="H45" s="24" t="str">
        <f t="shared" si="0"/>
        <v/>
      </c>
      <c r="I45" s="5"/>
    </row>
    <row r="46" spans="1:9" x14ac:dyDescent="0.3">
      <c r="A46" s="1">
        <f t="shared" si="1"/>
        <v>42</v>
      </c>
      <c r="B46" s="2"/>
      <c r="C46" s="3"/>
      <c r="D46" s="4"/>
      <c r="E46" s="5"/>
      <c r="F46" s="3"/>
      <c r="G46" s="4"/>
      <c r="H46" s="24" t="str">
        <f t="shared" si="0"/>
        <v/>
      </c>
      <c r="I46" s="5"/>
    </row>
    <row r="47" spans="1:9" x14ac:dyDescent="0.3">
      <c r="A47" s="1">
        <f t="shared" si="1"/>
        <v>43</v>
      </c>
      <c r="B47" s="2"/>
      <c r="C47" s="3"/>
      <c r="D47" s="4"/>
      <c r="E47" s="5"/>
      <c r="F47" s="3"/>
      <c r="G47" s="4"/>
      <c r="H47" s="24" t="str">
        <f t="shared" si="0"/>
        <v/>
      </c>
      <c r="I47" s="5"/>
    </row>
    <row r="48" spans="1:9" x14ac:dyDescent="0.3">
      <c r="A48" s="1">
        <f t="shared" si="1"/>
        <v>44</v>
      </c>
      <c r="B48" s="2"/>
      <c r="C48" s="3"/>
      <c r="D48" s="4"/>
      <c r="E48" s="5"/>
      <c r="F48" s="3"/>
      <c r="G48" s="4"/>
      <c r="H48" s="24" t="str">
        <f t="shared" si="0"/>
        <v/>
      </c>
      <c r="I48" s="5"/>
    </row>
    <row r="49" spans="1:9" x14ac:dyDescent="0.3">
      <c r="A49" s="1">
        <f t="shared" si="1"/>
        <v>45</v>
      </c>
      <c r="B49" s="2"/>
      <c r="C49" s="3"/>
      <c r="D49" s="4"/>
      <c r="E49" s="5"/>
      <c r="F49" s="3"/>
      <c r="G49" s="4"/>
      <c r="H49" s="24" t="str">
        <f t="shared" si="0"/>
        <v/>
      </c>
      <c r="I49" s="5"/>
    </row>
    <row r="50" spans="1:9" x14ac:dyDescent="0.3">
      <c r="A50" s="1">
        <f t="shared" si="1"/>
        <v>46</v>
      </c>
      <c r="B50" s="2"/>
      <c r="C50" s="3"/>
      <c r="D50" s="4"/>
      <c r="E50" s="5"/>
      <c r="F50" s="3"/>
      <c r="G50" s="4"/>
      <c r="H50" s="24" t="str">
        <f t="shared" si="0"/>
        <v/>
      </c>
      <c r="I50" s="5"/>
    </row>
    <row r="51" spans="1:9" x14ac:dyDescent="0.3">
      <c r="A51" s="1">
        <f t="shared" si="1"/>
        <v>47</v>
      </c>
      <c r="B51" s="2"/>
      <c r="C51" s="3"/>
      <c r="D51" s="4"/>
      <c r="E51" s="5"/>
      <c r="F51" s="3"/>
      <c r="G51" s="4"/>
      <c r="H51" s="24" t="str">
        <f t="shared" si="0"/>
        <v/>
      </c>
      <c r="I51" s="5"/>
    </row>
    <row r="52" spans="1:9" x14ac:dyDescent="0.3">
      <c r="A52" s="1">
        <f t="shared" si="1"/>
        <v>48</v>
      </c>
      <c r="B52" s="2"/>
      <c r="C52" s="3"/>
      <c r="D52" s="4"/>
      <c r="E52" s="5"/>
      <c r="F52" s="3"/>
      <c r="G52" s="4"/>
      <c r="H52" s="24" t="str">
        <f t="shared" si="0"/>
        <v/>
      </c>
      <c r="I52" s="5"/>
    </row>
    <row r="53" spans="1:9" x14ac:dyDescent="0.3">
      <c r="A53" s="1">
        <f t="shared" si="1"/>
        <v>49</v>
      </c>
      <c r="B53" s="2"/>
      <c r="C53" s="3"/>
      <c r="D53" s="4"/>
      <c r="E53" s="5"/>
      <c r="F53" s="3"/>
      <c r="G53" s="4"/>
      <c r="H53" s="24" t="str">
        <f t="shared" si="0"/>
        <v/>
      </c>
      <c r="I53" s="5"/>
    </row>
    <row r="54" spans="1:9" x14ac:dyDescent="0.3">
      <c r="A54" s="1">
        <f t="shared" si="1"/>
        <v>50</v>
      </c>
      <c r="B54" s="2"/>
      <c r="C54" s="3"/>
      <c r="D54" s="4"/>
      <c r="E54" s="5"/>
      <c r="F54" s="3"/>
      <c r="G54" s="4"/>
      <c r="H54" s="24" t="str">
        <f t="shared" si="0"/>
        <v/>
      </c>
      <c r="I54" s="5"/>
    </row>
    <row r="55" spans="1:9" x14ac:dyDescent="0.3">
      <c r="A55" s="1">
        <f t="shared" si="1"/>
        <v>51</v>
      </c>
      <c r="B55" s="2"/>
      <c r="C55" s="3"/>
      <c r="D55" s="4"/>
      <c r="E55" s="5"/>
      <c r="F55" s="3"/>
      <c r="G55" s="4"/>
      <c r="H55" s="24" t="str">
        <f t="shared" si="0"/>
        <v/>
      </c>
      <c r="I55" s="5"/>
    </row>
    <row r="56" spans="1:9" x14ac:dyDescent="0.3">
      <c r="A56" s="1">
        <f t="shared" si="1"/>
        <v>52</v>
      </c>
      <c r="B56" s="2"/>
      <c r="C56" s="3"/>
      <c r="D56" s="4"/>
      <c r="E56" s="5"/>
      <c r="F56" s="3"/>
      <c r="G56" s="4"/>
      <c r="H56" s="24" t="str">
        <f t="shared" si="0"/>
        <v/>
      </c>
      <c r="I56" s="5"/>
    </row>
    <row r="57" spans="1:9" x14ac:dyDescent="0.3">
      <c r="A57" s="1">
        <f t="shared" si="1"/>
        <v>53</v>
      </c>
      <c r="B57" s="2"/>
      <c r="C57" s="3"/>
      <c r="D57" s="4"/>
      <c r="E57" s="5"/>
      <c r="F57" s="3"/>
      <c r="G57" s="4"/>
      <c r="H57" s="24" t="str">
        <f t="shared" si="0"/>
        <v/>
      </c>
      <c r="I57" s="5"/>
    </row>
    <row r="58" spans="1:9" x14ac:dyDescent="0.3">
      <c r="A58" s="1">
        <f t="shared" si="1"/>
        <v>54</v>
      </c>
      <c r="B58" s="2"/>
      <c r="C58" s="3"/>
      <c r="D58" s="4"/>
      <c r="E58" s="5"/>
      <c r="F58" s="3"/>
      <c r="G58" s="4"/>
      <c r="H58" s="24" t="str">
        <f t="shared" si="0"/>
        <v/>
      </c>
      <c r="I58" s="5"/>
    </row>
    <row r="59" spans="1:9" x14ac:dyDescent="0.3">
      <c r="A59" s="1">
        <f t="shared" si="1"/>
        <v>55</v>
      </c>
      <c r="B59" s="2"/>
      <c r="C59" s="3"/>
      <c r="D59" s="4"/>
      <c r="E59" s="5"/>
      <c r="F59" s="3"/>
      <c r="G59" s="4"/>
      <c r="H59" s="24" t="str">
        <f t="shared" si="0"/>
        <v/>
      </c>
      <c r="I59" s="5"/>
    </row>
    <row r="60" spans="1:9" x14ac:dyDescent="0.3">
      <c r="A60" s="1">
        <f t="shared" si="1"/>
        <v>56</v>
      </c>
      <c r="B60" s="2"/>
      <c r="C60" s="3"/>
      <c r="D60" s="4"/>
      <c r="E60" s="5"/>
      <c r="F60" s="3"/>
      <c r="G60" s="4"/>
      <c r="H60" s="24" t="str">
        <f t="shared" si="0"/>
        <v/>
      </c>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8:K9"/>
    <mergeCell ref="L8:L9"/>
    <mergeCell ref="L11:M11"/>
    <mergeCell ref="L12:M12"/>
    <mergeCell ref="K15:M15"/>
    <mergeCell ref="M8:M9"/>
    <mergeCell ref="K10:M10"/>
    <mergeCell ref="K18:M18"/>
    <mergeCell ref="L13:M13"/>
    <mergeCell ref="B1:E1"/>
    <mergeCell ref="K1:M1"/>
    <mergeCell ref="B2:E2"/>
    <mergeCell ref="K2:M2"/>
    <mergeCell ref="L14:M14"/>
    <mergeCell ref="C3:E3"/>
    <mergeCell ref="F3:I3"/>
    <mergeCell ref="J3:M3"/>
    <mergeCell ref="J4:J18"/>
    <mergeCell ref="K5:K6"/>
    <mergeCell ref="L5:L6"/>
    <mergeCell ref="M5:M6"/>
    <mergeCell ref="K16:M16"/>
    <mergeCell ref="K17:M17"/>
  </mergeCells>
  <conditionalFormatting sqref="B5:B104">
    <cfRule type="expression" dxfId="9"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8193" r:id="rId3" name="CommandButton1">
          <controlPr defaultSize="0" autoLine="0" r:id="rId4">
            <anchor moveWithCells="1">
              <from>
                <xdr:col>3</xdr:col>
                <xdr:colOff>457200</xdr:colOff>
                <xdr:row>0</xdr:row>
                <xdr:rowOff>144780</xdr:rowOff>
              </from>
              <to>
                <xdr:col>5</xdr:col>
                <xdr:colOff>76200</xdr:colOff>
                <xdr:row>1</xdr:row>
                <xdr:rowOff>213360</xdr:rowOff>
              </to>
            </anchor>
          </controlPr>
        </control>
      </mc:Choice>
      <mc:Fallback>
        <control shapeId="8193" r:id="rId3" name="CommandButton1"/>
      </mc:Fallback>
    </mc:AlternateContent>
    <mc:AlternateContent xmlns:mc="http://schemas.openxmlformats.org/markup-compatibility/2006">
      <mc:Choice Requires="x14">
        <control shapeId="8194" r:id="rId5" name="CommandButton2">
          <controlPr defaultSize="0" autoLine="0" r:id="rId6">
            <anchor moveWithCells="1">
              <from>
                <xdr:col>5</xdr:col>
                <xdr:colOff>190500</xdr:colOff>
                <xdr:row>0</xdr:row>
                <xdr:rowOff>152400</xdr:rowOff>
              </from>
              <to>
                <xdr:col>6</xdr:col>
                <xdr:colOff>259080</xdr:colOff>
                <xdr:row>1</xdr:row>
                <xdr:rowOff>220980</xdr:rowOff>
              </to>
            </anchor>
          </controlPr>
        </control>
      </mc:Choice>
      <mc:Fallback>
        <control shapeId="8194" r:id="rId5" name="CommandButton2"/>
      </mc:Fallback>
    </mc:AlternateContent>
    <mc:AlternateContent xmlns:mc="http://schemas.openxmlformats.org/markup-compatibility/2006">
      <mc:Choice Requires="x14">
        <control shapeId="8195" r:id="rId7" name="CommandButton3">
          <controlPr defaultSize="0" autoLine="0" r:id="rId8">
            <anchor moveWithCells="1">
              <from>
                <xdr:col>6</xdr:col>
                <xdr:colOff>342900</xdr:colOff>
                <xdr:row>0</xdr:row>
                <xdr:rowOff>152400</xdr:rowOff>
              </from>
              <to>
                <xdr:col>7</xdr:col>
                <xdr:colOff>510540</xdr:colOff>
                <xdr:row>1</xdr:row>
                <xdr:rowOff>220980</xdr:rowOff>
              </to>
            </anchor>
          </controlPr>
        </control>
      </mc:Choice>
      <mc:Fallback>
        <control shapeId="8195" r:id="rId7" name="CommandButton3"/>
      </mc:Fallback>
    </mc:AlternateContent>
    <mc:AlternateContent xmlns:mc="http://schemas.openxmlformats.org/markup-compatibility/2006">
      <mc:Choice Requires="x14">
        <control shapeId="8196" r:id="rId9" name="CommandButton4">
          <controlPr defaultSize="0" autoLine="0" r:id="rId10">
            <anchor moveWithCells="1">
              <from>
                <xdr:col>16</xdr:col>
                <xdr:colOff>30480</xdr:colOff>
                <xdr:row>0</xdr:row>
                <xdr:rowOff>7620</xdr:rowOff>
              </from>
              <to>
                <xdr:col>17</xdr:col>
                <xdr:colOff>274320</xdr:colOff>
                <xdr:row>1</xdr:row>
                <xdr:rowOff>76200</xdr:rowOff>
              </to>
            </anchor>
          </controlPr>
        </control>
      </mc:Choice>
      <mc:Fallback>
        <control shapeId="8196" r:id="rId9" name="CommandButton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Base!$A$1:$A$2</xm:f>
          </x14:formula1>
          <xm:sqref>C5:E104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7"/>
  <dimension ref="A1:P104"/>
  <sheetViews>
    <sheetView showGridLines="0" showRowColHeaders="0" topLeftCell="B1" zoomScale="90" zoomScaleNormal="90" workbookViewId="0"/>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67" t="s">
        <v>79</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216</v>
      </c>
      <c r="C5" s="3"/>
      <c r="D5" s="4"/>
      <c r="E5" s="5"/>
      <c r="F5" s="3"/>
      <c r="G5" s="4"/>
      <c r="H5" s="24" t="str">
        <f t="shared" ref="H5:H14" si="0">IF(AND(G5&lt;&gt;"",F5&lt;&gt;""),G5/F5,"")</f>
        <v/>
      </c>
      <c r="I5" s="5"/>
      <c r="J5" s="118"/>
      <c r="K5" s="120">
        <f>COUNTA(B5:B104)</f>
        <v>31</v>
      </c>
      <c r="L5" s="122">
        <f>COUNTIF(E5:E104,"OK")</f>
        <v>1</v>
      </c>
      <c r="M5" s="124">
        <f>IFERROR(K5-L5,"")</f>
        <v>30</v>
      </c>
      <c r="N5" s="1">
        <f>K5</f>
        <v>31</v>
      </c>
    </row>
    <row r="6" spans="1:16" x14ac:dyDescent="0.3">
      <c r="A6" s="1">
        <f>A5+1</f>
        <v>2</v>
      </c>
      <c r="B6" s="2" t="s">
        <v>217</v>
      </c>
      <c r="C6" s="3"/>
      <c r="D6" s="4"/>
      <c r="E6" s="5"/>
      <c r="F6" s="3"/>
      <c r="G6" s="4"/>
      <c r="H6" s="24" t="str">
        <f t="shared" si="0"/>
        <v/>
      </c>
      <c r="I6" s="5"/>
      <c r="J6" s="118"/>
      <c r="K6" s="121"/>
      <c r="L6" s="123"/>
      <c r="M6" s="125"/>
      <c r="N6" s="1">
        <f>L5</f>
        <v>1</v>
      </c>
    </row>
    <row r="7" spans="1:16" ht="15" thickBot="1" x14ac:dyDescent="0.35">
      <c r="A7" s="1">
        <f t="shared" ref="A7:A70" si="1">A6+1</f>
        <v>3</v>
      </c>
      <c r="B7" s="2" t="s">
        <v>196</v>
      </c>
      <c r="C7" s="3"/>
      <c r="D7" s="4"/>
      <c r="E7" s="5"/>
      <c r="F7" s="3"/>
      <c r="G7" s="4"/>
      <c r="H7" s="24" t="str">
        <f t="shared" si="0"/>
        <v/>
      </c>
      <c r="I7" s="5"/>
      <c r="J7" s="118"/>
      <c r="K7" s="18" t="s">
        <v>12</v>
      </c>
      <c r="L7" s="19" t="s">
        <v>14</v>
      </c>
      <c r="M7" s="20" t="s">
        <v>5</v>
      </c>
    </row>
    <row r="8" spans="1:16" ht="16.5" customHeight="1" thickTop="1" x14ac:dyDescent="0.3">
      <c r="A8" s="1">
        <f t="shared" si="1"/>
        <v>4</v>
      </c>
      <c r="B8" s="2" t="s">
        <v>218</v>
      </c>
      <c r="C8" s="3"/>
      <c r="D8" s="4"/>
      <c r="E8" s="5"/>
      <c r="F8" s="3"/>
      <c r="G8" s="4"/>
      <c r="H8" s="24" t="str">
        <f t="shared" si="0"/>
        <v/>
      </c>
      <c r="I8" s="5"/>
      <c r="J8" s="118"/>
      <c r="K8" s="120">
        <f>IFERROR(SUM(F5:F104),"")</f>
        <v>10</v>
      </c>
      <c r="L8" s="122">
        <f>IFERROR(SUM(G5:G104),"")</f>
        <v>10</v>
      </c>
      <c r="M8" s="126">
        <f>IFERROR(L8/K8,"")</f>
        <v>1</v>
      </c>
      <c r="N8" s="1">
        <f>K8</f>
        <v>10</v>
      </c>
    </row>
    <row r="9" spans="1:16" x14ac:dyDescent="0.3">
      <c r="A9" s="1">
        <f t="shared" si="1"/>
        <v>5</v>
      </c>
      <c r="B9" s="2" t="s">
        <v>219</v>
      </c>
      <c r="C9" s="3"/>
      <c r="D9" s="4"/>
      <c r="E9" s="5"/>
      <c r="F9" s="3"/>
      <c r="G9" s="4"/>
      <c r="H9" s="24" t="str">
        <f t="shared" si="0"/>
        <v/>
      </c>
      <c r="I9" s="5"/>
      <c r="J9" s="118"/>
      <c r="K9" s="121"/>
      <c r="L9" s="123"/>
      <c r="M9" s="127"/>
      <c r="N9" s="1">
        <f>L8</f>
        <v>10</v>
      </c>
    </row>
    <row r="10" spans="1:16" ht="15" thickBot="1" x14ac:dyDescent="0.35">
      <c r="A10" s="1">
        <f t="shared" si="1"/>
        <v>6</v>
      </c>
      <c r="B10" s="2" t="s">
        <v>220</v>
      </c>
      <c r="C10" s="3"/>
      <c r="D10" s="4"/>
      <c r="E10" s="5"/>
      <c r="F10" s="3"/>
      <c r="G10" s="4"/>
      <c r="H10" s="24" t="str">
        <f t="shared" si="0"/>
        <v/>
      </c>
      <c r="I10" s="5"/>
      <c r="J10" s="118"/>
      <c r="K10" s="128" t="s">
        <v>17</v>
      </c>
      <c r="L10" s="128"/>
      <c r="M10" s="129"/>
    </row>
    <row r="11" spans="1:16" ht="15" thickTop="1" x14ac:dyDescent="0.3">
      <c r="A11" s="1">
        <f t="shared" si="1"/>
        <v>7</v>
      </c>
      <c r="B11" s="2" t="s">
        <v>221</v>
      </c>
      <c r="C11" s="3"/>
      <c r="D11" s="4"/>
      <c r="E11" s="5"/>
      <c r="F11" s="3"/>
      <c r="G11" s="4"/>
      <c r="H11" s="24" t="str">
        <f t="shared" si="0"/>
        <v/>
      </c>
      <c r="I11" s="5"/>
      <c r="J11" s="118"/>
      <c r="K11" s="21" t="s">
        <v>22</v>
      </c>
      <c r="L11" s="130" t="s">
        <v>23</v>
      </c>
      <c r="M11" s="131"/>
    </row>
    <row r="12" spans="1:16" x14ac:dyDescent="0.3">
      <c r="A12" s="1">
        <f t="shared" si="1"/>
        <v>8</v>
      </c>
      <c r="B12" s="2" t="s">
        <v>145</v>
      </c>
      <c r="C12" s="3"/>
      <c r="D12" s="4"/>
      <c r="E12" s="5"/>
      <c r="F12" s="3"/>
      <c r="G12" s="4"/>
      <c r="H12" s="24" t="str">
        <f t="shared" si="0"/>
        <v/>
      </c>
      <c r="I12" s="5"/>
      <c r="J12" s="118"/>
      <c r="K12" s="22" t="s">
        <v>18</v>
      </c>
      <c r="L12" s="132"/>
      <c r="M12" s="133"/>
      <c r="N12" s="34" t="str">
        <f>IF(L12="","",L12)</f>
        <v/>
      </c>
    </row>
    <row r="13" spans="1:16" x14ac:dyDescent="0.3">
      <c r="A13" s="1">
        <f t="shared" si="1"/>
        <v>9</v>
      </c>
      <c r="B13" s="2" t="s">
        <v>222</v>
      </c>
      <c r="C13" s="3"/>
      <c r="D13" s="4"/>
      <c r="E13" s="5"/>
      <c r="F13" s="3"/>
      <c r="G13" s="4"/>
      <c r="H13" s="24" t="str">
        <f t="shared" si="0"/>
        <v/>
      </c>
      <c r="I13" s="5"/>
      <c r="J13" s="118"/>
      <c r="K13" s="23" t="s">
        <v>19</v>
      </c>
      <c r="L13" s="132"/>
      <c r="M13" s="133"/>
      <c r="N13" s="34" t="str">
        <f>IF(L13="","",L13)</f>
        <v/>
      </c>
    </row>
    <row r="14" spans="1:16" x14ac:dyDescent="0.3">
      <c r="A14" s="1">
        <f t="shared" si="1"/>
        <v>10</v>
      </c>
      <c r="B14" s="2" t="s">
        <v>223</v>
      </c>
      <c r="C14" s="3" t="s">
        <v>10</v>
      </c>
      <c r="D14" s="4" t="s">
        <v>10</v>
      </c>
      <c r="E14" s="5" t="s">
        <v>10</v>
      </c>
      <c r="F14" s="3">
        <v>10</v>
      </c>
      <c r="G14" s="4">
        <v>10</v>
      </c>
      <c r="H14" s="24">
        <f t="shared" si="0"/>
        <v>1</v>
      </c>
      <c r="I14" s="5"/>
      <c r="J14" s="118"/>
      <c r="K14" s="23" t="s">
        <v>20</v>
      </c>
      <c r="L14" s="132"/>
      <c r="M14" s="133"/>
      <c r="N14" s="34" t="str">
        <f>IF(L14="","",L14)</f>
        <v/>
      </c>
    </row>
    <row r="15" spans="1:16" ht="31.5" customHeight="1" thickBot="1" x14ac:dyDescent="0.35">
      <c r="A15" s="1">
        <f t="shared" si="1"/>
        <v>11</v>
      </c>
      <c r="B15" s="2" t="s">
        <v>224</v>
      </c>
      <c r="C15" s="3"/>
      <c r="D15" s="4"/>
      <c r="E15" s="5"/>
      <c r="F15" s="3"/>
      <c r="G15" s="4"/>
      <c r="H15" s="25"/>
      <c r="I15" s="5"/>
      <c r="J15" s="118"/>
      <c r="K15" s="128" t="s">
        <v>24</v>
      </c>
      <c r="L15" s="128"/>
      <c r="M15" s="129"/>
    </row>
    <row r="16" spans="1:16" ht="15" thickTop="1" x14ac:dyDescent="0.3">
      <c r="A16" s="1">
        <f t="shared" si="1"/>
        <v>12</v>
      </c>
      <c r="B16" s="2" t="s">
        <v>225</v>
      </c>
      <c r="C16" s="3"/>
      <c r="D16" s="4"/>
      <c r="E16" s="5"/>
      <c r="F16" s="3"/>
      <c r="G16" s="4"/>
      <c r="H16" s="25"/>
      <c r="I16" s="5"/>
      <c r="J16" s="118"/>
      <c r="K16" s="134"/>
      <c r="L16" s="135"/>
      <c r="M16" s="136"/>
    </row>
    <row r="17" spans="1:13" x14ac:dyDescent="0.3">
      <c r="A17" s="1">
        <f t="shared" si="1"/>
        <v>13</v>
      </c>
      <c r="B17" s="2" t="s">
        <v>226</v>
      </c>
      <c r="C17" s="3"/>
      <c r="D17" s="4"/>
      <c r="E17" s="5"/>
      <c r="F17" s="3"/>
      <c r="G17" s="4"/>
      <c r="H17" s="25"/>
      <c r="I17" s="5"/>
      <c r="J17" s="118"/>
      <c r="K17" s="134"/>
      <c r="L17" s="135"/>
      <c r="M17" s="136"/>
    </row>
    <row r="18" spans="1:13" ht="18.75" customHeight="1" thickBot="1" x14ac:dyDescent="0.35">
      <c r="A18" s="1">
        <f t="shared" si="1"/>
        <v>14</v>
      </c>
      <c r="B18" s="2" t="s">
        <v>227</v>
      </c>
      <c r="C18" s="3"/>
      <c r="D18" s="4"/>
      <c r="E18" s="5"/>
      <c r="F18" s="3"/>
      <c r="G18" s="4"/>
      <c r="H18" s="25"/>
      <c r="I18" s="5"/>
      <c r="J18" s="119"/>
      <c r="K18" s="114"/>
      <c r="L18" s="115"/>
      <c r="M18" s="116"/>
    </row>
    <row r="19" spans="1:13" ht="15" thickTop="1" x14ac:dyDescent="0.3">
      <c r="A19" s="1">
        <f t="shared" si="1"/>
        <v>15</v>
      </c>
      <c r="B19" s="2" t="s">
        <v>228</v>
      </c>
      <c r="C19" s="3"/>
      <c r="D19" s="4"/>
      <c r="E19" s="5"/>
      <c r="F19" s="3"/>
      <c r="G19" s="4"/>
      <c r="H19" s="25"/>
      <c r="I19" s="5"/>
      <c r="K19" s="14"/>
      <c r="L19" s="14"/>
      <c r="M19" s="14"/>
    </row>
    <row r="20" spans="1:13" x14ac:dyDescent="0.3">
      <c r="A20" s="1">
        <f t="shared" si="1"/>
        <v>16</v>
      </c>
      <c r="B20" s="2" t="s">
        <v>229</v>
      </c>
      <c r="C20" s="3"/>
      <c r="D20" s="4"/>
      <c r="E20" s="5"/>
      <c r="F20" s="3"/>
      <c r="G20" s="4"/>
      <c r="H20" s="25"/>
      <c r="I20" s="5"/>
    </row>
    <row r="21" spans="1:13" x14ac:dyDescent="0.3">
      <c r="A21" s="1">
        <f t="shared" si="1"/>
        <v>17</v>
      </c>
      <c r="B21" s="2" t="s">
        <v>230</v>
      </c>
      <c r="C21" s="3"/>
      <c r="D21" s="4"/>
      <c r="E21" s="5"/>
      <c r="F21" s="3"/>
      <c r="G21" s="4"/>
      <c r="H21" s="25"/>
      <c r="I21" s="5"/>
    </row>
    <row r="22" spans="1:13" x14ac:dyDescent="0.3">
      <c r="A22" s="1">
        <f t="shared" si="1"/>
        <v>18</v>
      </c>
      <c r="B22" s="2" t="s">
        <v>231</v>
      </c>
      <c r="C22" s="3"/>
      <c r="D22" s="4"/>
      <c r="E22" s="5"/>
      <c r="F22" s="3"/>
      <c r="G22" s="4"/>
      <c r="H22" s="25"/>
      <c r="I22" s="5"/>
    </row>
    <row r="23" spans="1:13" ht="21" customHeight="1" x14ac:dyDescent="0.3">
      <c r="A23" s="1">
        <f t="shared" si="1"/>
        <v>19</v>
      </c>
      <c r="B23" s="2" t="s">
        <v>232</v>
      </c>
      <c r="C23" s="3"/>
      <c r="D23" s="4"/>
      <c r="E23" s="5"/>
      <c r="F23" s="3"/>
      <c r="G23" s="4"/>
      <c r="H23" s="25"/>
      <c r="I23" s="5"/>
    </row>
    <row r="24" spans="1:13" x14ac:dyDescent="0.3">
      <c r="A24" s="1">
        <f t="shared" si="1"/>
        <v>20</v>
      </c>
      <c r="B24" s="2" t="s">
        <v>233</v>
      </c>
      <c r="C24" s="3"/>
      <c r="D24" s="4"/>
      <c r="E24" s="5"/>
      <c r="F24" s="3"/>
      <c r="G24" s="4"/>
      <c r="H24" s="25"/>
      <c r="I24" s="5"/>
    </row>
    <row r="25" spans="1:13" x14ac:dyDescent="0.3">
      <c r="A25" s="1">
        <f t="shared" si="1"/>
        <v>21</v>
      </c>
      <c r="B25" s="2" t="s">
        <v>234</v>
      </c>
      <c r="C25" s="3"/>
      <c r="D25" s="4"/>
      <c r="E25" s="5"/>
      <c r="F25" s="3"/>
      <c r="G25" s="4"/>
      <c r="H25" s="25"/>
      <c r="I25" s="5"/>
    </row>
    <row r="26" spans="1:13" x14ac:dyDescent="0.3">
      <c r="A26" s="1">
        <f t="shared" si="1"/>
        <v>22</v>
      </c>
      <c r="B26" s="2" t="s">
        <v>235</v>
      </c>
      <c r="C26" s="3"/>
      <c r="D26" s="4"/>
      <c r="E26" s="5"/>
      <c r="F26" s="3"/>
      <c r="G26" s="4"/>
      <c r="H26" s="25"/>
      <c r="I26" s="5"/>
    </row>
    <row r="27" spans="1:13" x14ac:dyDescent="0.3">
      <c r="A27" s="1">
        <f t="shared" si="1"/>
        <v>23</v>
      </c>
      <c r="B27" s="2" t="s">
        <v>236</v>
      </c>
      <c r="C27" s="3"/>
      <c r="D27" s="4"/>
      <c r="E27" s="5"/>
      <c r="F27" s="3"/>
      <c r="G27" s="4"/>
      <c r="H27" s="25"/>
      <c r="I27" s="5"/>
    </row>
    <row r="28" spans="1:13" x14ac:dyDescent="0.3">
      <c r="A28" s="1">
        <f t="shared" si="1"/>
        <v>24</v>
      </c>
      <c r="B28" s="2" t="s">
        <v>237</v>
      </c>
      <c r="C28" s="3"/>
      <c r="D28" s="4"/>
      <c r="E28" s="5"/>
      <c r="F28" s="3"/>
      <c r="G28" s="4"/>
      <c r="H28" s="25"/>
      <c r="I28" s="5"/>
    </row>
    <row r="29" spans="1:13" x14ac:dyDescent="0.3">
      <c r="A29" s="1">
        <f t="shared" si="1"/>
        <v>25</v>
      </c>
      <c r="B29" s="2" t="s">
        <v>238</v>
      </c>
      <c r="C29" s="3"/>
      <c r="D29" s="4"/>
      <c r="E29" s="5"/>
      <c r="F29" s="3"/>
      <c r="G29" s="4"/>
      <c r="H29" s="25"/>
      <c r="I29" s="5"/>
    </row>
    <row r="30" spans="1:13" x14ac:dyDescent="0.3">
      <c r="A30" s="1">
        <f t="shared" si="1"/>
        <v>26</v>
      </c>
      <c r="B30" s="2" t="s">
        <v>239</v>
      </c>
      <c r="C30" s="3"/>
      <c r="D30" s="4"/>
      <c r="E30" s="5"/>
      <c r="F30" s="3"/>
      <c r="G30" s="4"/>
      <c r="H30" s="25"/>
      <c r="I30" s="5"/>
    </row>
    <row r="31" spans="1:13" x14ac:dyDescent="0.3">
      <c r="A31" s="1">
        <f t="shared" si="1"/>
        <v>27</v>
      </c>
      <c r="B31" s="2" t="s">
        <v>240</v>
      </c>
      <c r="C31" s="3"/>
      <c r="D31" s="4"/>
      <c r="E31" s="5"/>
      <c r="F31" s="3"/>
      <c r="G31" s="4"/>
      <c r="H31" s="25"/>
      <c r="I31" s="5"/>
    </row>
    <row r="32" spans="1:13" x14ac:dyDescent="0.3">
      <c r="A32" s="1">
        <f t="shared" si="1"/>
        <v>28</v>
      </c>
      <c r="B32" s="2" t="s">
        <v>241</v>
      </c>
      <c r="C32" s="3"/>
      <c r="D32" s="4"/>
      <c r="E32" s="5"/>
      <c r="F32" s="3"/>
      <c r="G32" s="4"/>
      <c r="H32" s="25"/>
      <c r="I32" s="5"/>
    </row>
    <row r="33" spans="1:9" x14ac:dyDescent="0.3">
      <c r="A33" s="1">
        <f t="shared" si="1"/>
        <v>29</v>
      </c>
      <c r="B33" s="2" t="s">
        <v>242</v>
      </c>
      <c r="C33" s="3"/>
      <c r="D33" s="4"/>
      <c r="E33" s="5"/>
      <c r="F33" s="3"/>
      <c r="G33" s="4"/>
      <c r="H33" s="25"/>
      <c r="I33" s="5"/>
    </row>
    <row r="34" spans="1:9" x14ac:dyDescent="0.3">
      <c r="A34" s="1">
        <f t="shared" si="1"/>
        <v>30</v>
      </c>
      <c r="B34" s="2" t="s">
        <v>243</v>
      </c>
      <c r="C34" s="3"/>
      <c r="D34" s="4"/>
      <c r="E34" s="5"/>
      <c r="F34" s="3"/>
      <c r="G34" s="4"/>
      <c r="H34" s="25"/>
      <c r="I34" s="5"/>
    </row>
    <row r="35" spans="1:9" x14ac:dyDescent="0.3">
      <c r="A35" s="1">
        <f t="shared" si="1"/>
        <v>31</v>
      </c>
      <c r="B35" s="2" t="s">
        <v>244</v>
      </c>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J4:J18"/>
    <mergeCell ref="K10:M10"/>
    <mergeCell ref="K8:K9"/>
    <mergeCell ref="L8:L9"/>
    <mergeCell ref="M8:M9"/>
    <mergeCell ref="M5:M6"/>
    <mergeCell ref="L5:L6"/>
    <mergeCell ref="B1:E1"/>
    <mergeCell ref="K1:M1"/>
    <mergeCell ref="B2:E2"/>
    <mergeCell ref="K2:M2"/>
    <mergeCell ref="K18:M18"/>
    <mergeCell ref="J3:M3"/>
    <mergeCell ref="K16:M16"/>
    <mergeCell ref="K17:M17"/>
    <mergeCell ref="K5:K6"/>
    <mergeCell ref="L11:M11"/>
    <mergeCell ref="L12:M12"/>
    <mergeCell ref="L13:M13"/>
    <mergeCell ref="L14:M14"/>
    <mergeCell ref="K15:M15"/>
    <mergeCell ref="C3:E3"/>
    <mergeCell ref="F3:I3"/>
  </mergeCells>
  <conditionalFormatting sqref="B5:B104">
    <cfRule type="expression" dxfId="8"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9217" r:id="rId3" name="CommandButton1">
          <controlPr defaultSize="0" autoLine="0" r:id="rId4">
            <anchor moveWithCells="1">
              <from>
                <xdr:col>3</xdr:col>
                <xdr:colOff>457200</xdr:colOff>
                <xdr:row>0</xdr:row>
                <xdr:rowOff>144780</xdr:rowOff>
              </from>
              <to>
                <xdr:col>5</xdr:col>
                <xdr:colOff>76200</xdr:colOff>
                <xdr:row>1</xdr:row>
                <xdr:rowOff>213360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5</xdr:col>
                <xdr:colOff>190500</xdr:colOff>
                <xdr:row>0</xdr:row>
                <xdr:rowOff>152400</xdr:rowOff>
              </from>
              <to>
                <xdr:col>6</xdr:col>
                <xdr:colOff>259080</xdr:colOff>
                <xdr:row>1</xdr:row>
                <xdr:rowOff>220980</xdr:rowOff>
              </to>
            </anchor>
          </controlPr>
        </control>
      </mc:Choice>
      <mc:Fallback>
        <control shapeId="9218" r:id="rId5" name="CommandButton2"/>
      </mc:Fallback>
    </mc:AlternateContent>
    <mc:AlternateContent xmlns:mc="http://schemas.openxmlformats.org/markup-compatibility/2006">
      <mc:Choice Requires="x14">
        <control shapeId="9219" r:id="rId7" name="CommandButton3">
          <controlPr defaultSize="0" autoLine="0" r:id="rId8">
            <anchor moveWithCells="1">
              <from>
                <xdr:col>6</xdr:col>
                <xdr:colOff>342900</xdr:colOff>
                <xdr:row>0</xdr:row>
                <xdr:rowOff>152400</xdr:rowOff>
              </from>
              <to>
                <xdr:col>7</xdr:col>
                <xdr:colOff>510540</xdr:colOff>
                <xdr:row>1</xdr:row>
                <xdr:rowOff>220980</xdr:rowOff>
              </to>
            </anchor>
          </controlPr>
        </control>
      </mc:Choice>
      <mc:Fallback>
        <control shapeId="9219" r:id="rId7" name="CommandButton3"/>
      </mc:Fallback>
    </mc:AlternateContent>
    <mc:AlternateContent xmlns:mc="http://schemas.openxmlformats.org/markup-compatibility/2006">
      <mc:Choice Requires="x14">
        <control shapeId="9220" r:id="rId9" name="CommandButton4">
          <controlPr defaultSize="0" autoLine="0" r:id="rId10">
            <anchor moveWithCells="1">
              <from>
                <xdr:col>16</xdr:col>
                <xdr:colOff>30480</xdr:colOff>
                <xdr:row>0</xdr:row>
                <xdr:rowOff>7620</xdr:rowOff>
              </from>
              <to>
                <xdr:col>17</xdr:col>
                <xdr:colOff>274320</xdr:colOff>
                <xdr:row>1</xdr:row>
                <xdr:rowOff>76200</xdr:rowOff>
              </to>
            </anchor>
          </controlPr>
        </control>
      </mc:Choice>
      <mc:Fallback>
        <control shapeId="9220" r:id="rId9" name="CommandButton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Base!$A$1:$A$2</xm:f>
          </x14:formula1>
          <xm:sqref>C5:E104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9"/>
  <dimension ref="A1:P104"/>
  <sheetViews>
    <sheetView showGridLines="0" showRowColHeaders="0" topLeftCell="B1" zoomScale="90" zoomScaleNormal="90" workbookViewId="0">
      <selection activeCell="E6" sqref="E6"/>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68" t="s">
        <v>80</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170</v>
      </c>
      <c r="C5" s="3" t="s">
        <v>10</v>
      </c>
      <c r="D5" s="4" t="s">
        <v>10</v>
      </c>
      <c r="E5" s="5" t="s">
        <v>10</v>
      </c>
      <c r="F5" s="3"/>
      <c r="G5" s="4"/>
      <c r="H5" s="24" t="str">
        <f t="shared" ref="H5:H14" si="0">IF(AND(G5&lt;&gt;"",F5&lt;&gt;""),G5/F5,"")</f>
        <v/>
      </c>
      <c r="I5" s="5"/>
      <c r="J5" s="118"/>
      <c r="K5" s="120">
        <f>COUNTA(B5:B104)</f>
        <v>52</v>
      </c>
      <c r="L5" s="122">
        <f>COUNTIF(E5:E104,"OK")</f>
        <v>2</v>
      </c>
      <c r="M5" s="124">
        <f>IFERROR(K5-L5,"")</f>
        <v>50</v>
      </c>
      <c r="N5" s="1">
        <f>K5</f>
        <v>52</v>
      </c>
    </row>
    <row r="6" spans="1:16" x14ac:dyDescent="0.3">
      <c r="A6" s="1">
        <f>A5+1</f>
        <v>2</v>
      </c>
      <c r="B6" s="2" t="s">
        <v>171</v>
      </c>
      <c r="C6" s="3" t="s">
        <v>10</v>
      </c>
      <c r="D6" s="4" t="s">
        <v>10</v>
      </c>
      <c r="E6" s="5" t="s">
        <v>10</v>
      </c>
      <c r="F6" s="3"/>
      <c r="G6" s="4"/>
      <c r="H6" s="24" t="str">
        <f t="shared" si="0"/>
        <v/>
      </c>
      <c r="I6" s="5"/>
      <c r="J6" s="118"/>
      <c r="K6" s="121"/>
      <c r="L6" s="123"/>
      <c r="M6" s="125"/>
      <c r="N6" s="1">
        <f>L5</f>
        <v>2</v>
      </c>
    </row>
    <row r="7" spans="1:16" ht="15" thickBot="1" x14ac:dyDescent="0.35">
      <c r="A7" s="1">
        <f t="shared" ref="A7:A70" si="1">A6+1</f>
        <v>3</v>
      </c>
      <c r="B7" s="2" t="s">
        <v>172</v>
      </c>
      <c r="C7" s="3"/>
      <c r="D7" s="4"/>
      <c r="E7" s="5"/>
      <c r="F7" s="3"/>
      <c r="G7" s="4"/>
      <c r="H7" s="24" t="str">
        <f t="shared" si="0"/>
        <v/>
      </c>
      <c r="I7" s="5"/>
      <c r="J7" s="118"/>
      <c r="K7" s="18" t="s">
        <v>12</v>
      </c>
      <c r="L7" s="19" t="s">
        <v>14</v>
      </c>
      <c r="M7" s="20" t="s">
        <v>5</v>
      </c>
    </row>
    <row r="8" spans="1:16" ht="15" thickTop="1" x14ac:dyDescent="0.3">
      <c r="A8" s="1">
        <f t="shared" si="1"/>
        <v>4</v>
      </c>
      <c r="B8" s="2" t="s">
        <v>173</v>
      </c>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2" t="s">
        <v>174</v>
      </c>
      <c r="C9" s="3"/>
      <c r="D9" s="4"/>
      <c r="E9" s="5"/>
      <c r="F9" s="3"/>
      <c r="G9" s="4"/>
      <c r="H9" s="24" t="str">
        <f t="shared" si="0"/>
        <v/>
      </c>
      <c r="I9" s="5"/>
      <c r="J9" s="118"/>
      <c r="K9" s="121"/>
      <c r="L9" s="123"/>
      <c r="M9" s="127"/>
      <c r="N9" s="1">
        <f>L8</f>
        <v>0</v>
      </c>
    </row>
    <row r="10" spans="1:16" ht="15" thickBot="1" x14ac:dyDescent="0.35">
      <c r="A10" s="1">
        <f t="shared" si="1"/>
        <v>6</v>
      </c>
      <c r="B10" s="2" t="s">
        <v>175</v>
      </c>
      <c r="C10" s="3"/>
      <c r="D10" s="4"/>
      <c r="E10" s="5"/>
      <c r="F10" s="3"/>
      <c r="G10" s="4"/>
      <c r="H10" s="24" t="str">
        <f t="shared" si="0"/>
        <v/>
      </c>
      <c r="I10" s="5"/>
      <c r="J10" s="118"/>
      <c r="K10" s="128" t="s">
        <v>17</v>
      </c>
      <c r="L10" s="128"/>
      <c r="M10" s="129"/>
    </row>
    <row r="11" spans="1:16" ht="15" thickTop="1" x14ac:dyDescent="0.3">
      <c r="A11" s="1">
        <f t="shared" si="1"/>
        <v>7</v>
      </c>
      <c r="B11" s="2" t="s">
        <v>176</v>
      </c>
      <c r="C11" s="3"/>
      <c r="D11" s="4"/>
      <c r="E11" s="5"/>
      <c r="F11" s="3"/>
      <c r="G11" s="4"/>
      <c r="H11" s="24" t="str">
        <f t="shared" si="0"/>
        <v/>
      </c>
      <c r="I11" s="5"/>
      <c r="J11" s="118"/>
      <c r="K11" s="21" t="s">
        <v>22</v>
      </c>
      <c r="L11" s="130" t="s">
        <v>23</v>
      </c>
      <c r="M11" s="131"/>
    </row>
    <row r="12" spans="1:16" x14ac:dyDescent="0.3">
      <c r="A12" s="1">
        <f t="shared" si="1"/>
        <v>8</v>
      </c>
      <c r="B12" s="2" t="s">
        <v>177</v>
      </c>
      <c r="C12" s="3"/>
      <c r="D12" s="4"/>
      <c r="E12" s="5"/>
      <c r="F12" s="3"/>
      <c r="G12" s="4"/>
      <c r="H12" s="24" t="str">
        <f t="shared" si="0"/>
        <v/>
      </c>
      <c r="I12" s="5"/>
      <c r="J12" s="118"/>
      <c r="K12" s="22" t="s">
        <v>18</v>
      </c>
      <c r="L12" s="132"/>
      <c r="M12" s="133"/>
      <c r="N12" s="34" t="str">
        <f>IF(L12="","",L12)</f>
        <v/>
      </c>
    </row>
    <row r="13" spans="1:16" x14ac:dyDescent="0.3">
      <c r="A13" s="1">
        <f t="shared" si="1"/>
        <v>9</v>
      </c>
      <c r="B13" s="2" t="s">
        <v>178</v>
      </c>
      <c r="C13" s="3"/>
      <c r="D13" s="4"/>
      <c r="E13" s="5"/>
      <c r="F13" s="3"/>
      <c r="G13" s="4"/>
      <c r="H13" s="24" t="str">
        <f t="shared" si="0"/>
        <v/>
      </c>
      <c r="I13" s="5"/>
      <c r="J13" s="118"/>
      <c r="K13" s="23" t="s">
        <v>19</v>
      </c>
      <c r="L13" s="132"/>
      <c r="M13" s="133"/>
      <c r="N13" s="34" t="str">
        <f>IF(L13="","",L13)</f>
        <v/>
      </c>
    </row>
    <row r="14" spans="1:16" ht="26.4" x14ac:dyDescent="0.3">
      <c r="A14" s="1">
        <f t="shared" si="1"/>
        <v>10</v>
      </c>
      <c r="B14" s="2" t="s">
        <v>179</v>
      </c>
      <c r="C14" s="3"/>
      <c r="D14" s="4"/>
      <c r="E14" s="5"/>
      <c r="F14" s="3"/>
      <c r="G14" s="4"/>
      <c r="H14" s="24" t="str">
        <f t="shared" si="0"/>
        <v/>
      </c>
      <c r="I14" s="5"/>
      <c r="J14" s="118"/>
      <c r="K14" s="23" t="s">
        <v>20</v>
      </c>
      <c r="L14" s="132"/>
      <c r="M14" s="133"/>
      <c r="N14" s="34" t="str">
        <f>IF(L14="","",L14)</f>
        <v/>
      </c>
    </row>
    <row r="15" spans="1:16" ht="15" thickBot="1" x14ac:dyDescent="0.35">
      <c r="A15" s="1">
        <f t="shared" si="1"/>
        <v>11</v>
      </c>
      <c r="B15" s="2" t="s">
        <v>180</v>
      </c>
      <c r="C15" s="3"/>
      <c r="D15" s="4"/>
      <c r="E15" s="5"/>
      <c r="F15" s="3"/>
      <c r="G15" s="4"/>
      <c r="H15" s="25"/>
      <c r="I15" s="5"/>
      <c r="J15" s="118"/>
      <c r="K15" s="128" t="s">
        <v>24</v>
      </c>
      <c r="L15" s="128"/>
      <c r="M15" s="129"/>
    </row>
    <row r="16" spans="1:16" ht="15" thickTop="1" x14ac:dyDescent="0.3">
      <c r="A16" s="1">
        <f t="shared" si="1"/>
        <v>12</v>
      </c>
      <c r="B16" s="2" t="s">
        <v>181</v>
      </c>
      <c r="C16" s="3"/>
      <c r="D16" s="4"/>
      <c r="E16" s="5"/>
      <c r="F16" s="3"/>
      <c r="G16" s="4"/>
      <c r="H16" s="25"/>
      <c r="I16" s="5"/>
      <c r="J16" s="118"/>
      <c r="K16" s="134"/>
      <c r="L16" s="135"/>
      <c r="M16" s="136"/>
    </row>
    <row r="17" spans="1:13" x14ac:dyDescent="0.3">
      <c r="A17" s="1">
        <f t="shared" si="1"/>
        <v>13</v>
      </c>
      <c r="B17" s="2" t="s">
        <v>174</v>
      </c>
      <c r="C17" s="3"/>
      <c r="D17" s="4"/>
      <c r="E17" s="5"/>
      <c r="F17" s="3"/>
      <c r="G17" s="4"/>
      <c r="H17" s="25"/>
      <c r="I17" s="5"/>
      <c r="J17" s="118"/>
      <c r="K17" s="134"/>
      <c r="L17" s="135"/>
      <c r="M17" s="136"/>
    </row>
    <row r="18" spans="1:13" ht="15" thickBot="1" x14ac:dyDescent="0.35">
      <c r="A18" s="1">
        <f t="shared" si="1"/>
        <v>14</v>
      </c>
      <c r="B18" s="2" t="s">
        <v>182</v>
      </c>
      <c r="C18" s="3"/>
      <c r="D18" s="4"/>
      <c r="E18" s="5"/>
      <c r="F18" s="3"/>
      <c r="G18" s="4"/>
      <c r="H18" s="25"/>
      <c r="I18" s="5"/>
      <c r="J18" s="119"/>
      <c r="K18" s="114"/>
      <c r="L18" s="115"/>
      <c r="M18" s="116"/>
    </row>
    <row r="19" spans="1:13" ht="15" thickTop="1" x14ac:dyDescent="0.3">
      <c r="A19" s="1">
        <f t="shared" si="1"/>
        <v>15</v>
      </c>
      <c r="B19" s="2" t="s">
        <v>183</v>
      </c>
      <c r="C19" s="3"/>
      <c r="D19" s="4"/>
      <c r="E19" s="5"/>
      <c r="F19" s="3"/>
      <c r="G19" s="4"/>
      <c r="H19" s="25"/>
      <c r="I19" s="5"/>
      <c r="K19" s="14"/>
      <c r="L19" s="14"/>
      <c r="M19" s="14"/>
    </row>
    <row r="20" spans="1:13" x14ac:dyDescent="0.3">
      <c r="A20" s="1">
        <f t="shared" si="1"/>
        <v>16</v>
      </c>
      <c r="B20" s="2" t="s">
        <v>184</v>
      </c>
      <c r="C20" s="3"/>
      <c r="D20" s="4"/>
      <c r="E20" s="5"/>
      <c r="F20" s="3"/>
      <c r="G20" s="4"/>
      <c r="H20" s="25"/>
      <c r="I20" s="5"/>
    </row>
    <row r="21" spans="1:13" x14ac:dyDescent="0.3">
      <c r="A21" s="1">
        <f t="shared" si="1"/>
        <v>17</v>
      </c>
      <c r="B21" s="2" t="s">
        <v>185</v>
      </c>
      <c r="C21" s="3"/>
      <c r="D21" s="4"/>
      <c r="E21" s="5"/>
      <c r="F21" s="3"/>
      <c r="G21" s="4"/>
      <c r="H21" s="25"/>
      <c r="I21" s="5"/>
    </row>
    <row r="22" spans="1:13" x14ac:dyDescent="0.3">
      <c r="A22" s="1">
        <f t="shared" si="1"/>
        <v>18</v>
      </c>
      <c r="B22" s="2" t="s">
        <v>186</v>
      </c>
      <c r="C22" s="3"/>
      <c r="D22" s="4"/>
      <c r="E22" s="5"/>
      <c r="F22" s="3"/>
      <c r="G22" s="4"/>
      <c r="H22" s="25"/>
      <c r="I22" s="5"/>
    </row>
    <row r="23" spans="1:13" x14ac:dyDescent="0.3">
      <c r="A23" s="1">
        <f t="shared" si="1"/>
        <v>19</v>
      </c>
      <c r="B23" s="2" t="s">
        <v>187</v>
      </c>
      <c r="C23" s="3"/>
      <c r="D23" s="4"/>
      <c r="E23" s="5"/>
      <c r="F23" s="3"/>
      <c r="G23" s="4"/>
      <c r="H23" s="25"/>
      <c r="I23" s="5"/>
    </row>
    <row r="24" spans="1:13" x14ac:dyDescent="0.3">
      <c r="A24" s="1">
        <f t="shared" si="1"/>
        <v>20</v>
      </c>
      <c r="B24" s="2" t="s">
        <v>188</v>
      </c>
      <c r="C24" s="3"/>
      <c r="D24" s="4"/>
      <c r="E24" s="5"/>
      <c r="F24" s="3"/>
      <c r="G24" s="4"/>
      <c r="H24" s="25"/>
      <c r="I24" s="5"/>
    </row>
    <row r="25" spans="1:13" x14ac:dyDescent="0.3">
      <c r="A25" s="1">
        <f t="shared" si="1"/>
        <v>21</v>
      </c>
      <c r="B25" s="2" t="s">
        <v>189</v>
      </c>
      <c r="C25" s="3"/>
      <c r="D25" s="4"/>
      <c r="E25" s="5"/>
      <c r="F25" s="3"/>
      <c r="G25" s="4"/>
      <c r="H25" s="25"/>
      <c r="I25" s="5"/>
    </row>
    <row r="26" spans="1:13" x14ac:dyDescent="0.3">
      <c r="A26" s="1">
        <f t="shared" si="1"/>
        <v>22</v>
      </c>
      <c r="B26" s="2" t="s">
        <v>190</v>
      </c>
      <c r="C26" s="3"/>
      <c r="D26" s="4"/>
      <c r="E26" s="5"/>
      <c r="F26" s="3"/>
      <c r="G26" s="4"/>
      <c r="H26" s="25"/>
      <c r="I26" s="5"/>
    </row>
    <row r="27" spans="1:13" x14ac:dyDescent="0.3">
      <c r="A27" s="1">
        <f t="shared" si="1"/>
        <v>23</v>
      </c>
      <c r="B27" s="2" t="s">
        <v>191</v>
      </c>
      <c r="C27" s="3"/>
      <c r="D27" s="4"/>
      <c r="E27" s="5"/>
      <c r="F27" s="3"/>
      <c r="G27" s="4"/>
      <c r="H27" s="25"/>
      <c r="I27" s="5"/>
    </row>
    <row r="28" spans="1:13" x14ac:dyDescent="0.3">
      <c r="A28" s="1">
        <f t="shared" si="1"/>
        <v>24</v>
      </c>
      <c r="B28" s="2" t="s">
        <v>282</v>
      </c>
      <c r="C28" s="3"/>
      <c r="D28" s="4"/>
      <c r="E28" s="5"/>
      <c r="F28" s="3"/>
      <c r="G28" s="4"/>
      <c r="H28" s="25"/>
      <c r="I28" s="5"/>
    </row>
    <row r="29" spans="1:13" x14ac:dyDescent="0.3">
      <c r="A29" s="1">
        <f t="shared" si="1"/>
        <v>25</v>
      </c>
      <c r="B29" s="2" t="s">
        <v>192</v>
      </c>
      <c r="C29" s="3"/>
      <c r="D29" s="4"/>
      <c r="E29" s="5"/>
      <c r="F29" s="3"/>
      <c r="G29" s="4"/>
      <c r="H29" s="25"/>
      <c r="I29" s="5"/>
    </row>
    <row r="30" spans="1:13" x14ac:dyDescent="0.3">
      <c r="A30" s="1">
        <f t="shared" si="1"/>
        <v>26</v>
      </c>
      <c r="B30" s="2" t="s">
        <v>193</v>
      </c>
      <c r="C30" s="3"/>
      <c r="D30" s="4"/>
      <c r="E30" s="5"/>
      <c r="F30" s="3"/>
      <c r="G30" s="4"/>
      <c r="H30" s="25"/>
      <c r="I30" s="5"/>
    </row>
    <row r="31" spans="1:13" x14ac:dyDescent="0.3">
      <c r="A31" s="1">
        <f t="shared" si="1"/>
        <v>27</v>
      </c>
      <c r="B31" s="2" t="s">
        <v>174</v>
      </c>
      <c r="C31" s="3"/>
      <c r="D31" s="4"/>
      <c r="E31" s="5"/>
      <c r="F31" s="3"/>
      <c r="G31" s="4"/>
      <c r="H31" s="25"/>
      <c r="I31" s="5"/>
    </row>
    <row r="32" spans="1:13" x14ac:dyDescent="0.3">
      <c r="A32" s="1">
        <f t="shared" si="1"/>
        <v>28</v>
      </c>
      <c r="B32" s="2" t="s">
        <v>194</v>
      </c>
      <c r="C32" s="3"/>
      <c r="D32" s="4"/>
      <c r="E32" s="5"/>
      <c r="F32" s="3"/>
      <c r="G32" s="4"/>
      <c r="H32" s="25"/>
      <c r="I32" s="5"/>
    </row>
    <row r="33" spans="1:9" x14ac:dyDescent="0.3">
      <c r="A33" s="1">
        <f t="shared" si="1"/>
        <v>29</v>
      </c>
      <c r="B33" s="2" t="s">
        <v>195</v>
      </c>
      <c r="C33" s="3"/>
      <c r="D33" s="4"/>
      <c r="E33" s="5"/>
      <c r="F33" s="3"/>
      <c r="G33" s="4"/>
      <c r="H33" s="25"/>
      <c r="I33" s="5"/>
    </row>
    <row r="34" spans="1:9" x14ac:dyDescent="0.3">
      <c r="A34" s="1">
        <f t="shared" si="1"/>
        <v>30</v>
      </c>
      <c r="B34" s="2" t="s">
        <v>196</v>
      </c>
      <c r="C34" s="3"/>
      <c r="D34" s="4"/>
      <c r="E34" s="5"/>
      <c r="F34" s="3"/>
      <c r="G34" s="4"/>
      <c r="H34" s="25"/>
      <c r="I34" s="5"/>
    </row>
    <row r="35" spans="1:9" x14ac:dyDescent="0.3">
      <c r="A35" s="1">
        <f t="shared" si="1"/>
        <v>31</v>
      </c>
      <c r="B35" s="2" t="s">
        <v>197</v>
      </c>
      <c r="C35" s="3"/>
      <c r="D35" s="4"/>
      <c r="E35" s="5"/>
      <c r="F35" s="3"/>
      <c r="G35" s="4"/>
      <c r="H35" s="25"/>
      <c r="I35" s="5"/>
    </row>
    <row r="36" spans="1:9" ht="26.4" x14ac:dyDescent="0.3">
      <c r="A36" s="1">
        <f t="shared" si="1"/>
        <v>32</v>
      </c>
      <c r="B36" s="2" t="s">
        <v>198</v>
      </c>
      <c r="C36" s="3"/>
      <c r="D36" s="4"/>
      <c r="E36" s="5"/>
      <c r="F36" s="3"/>
      <c r="G36" s="4"/>
      <c r="H36" s="25"/>
      <c r="I36" s="5"/>
    </row>
    <row r="37" spans="1:9" x14ac:dyDescent="0.3">
      <c r="A37" s="1">
        <f t="shared" si="1"/>
        <v>33</v>
      </c>
      <c r="B37" s="2" t="s">
        <v>199</v>
      </c>
      <c r="C37" s="3"/>
      <c r="D37" s="4"/>
      <c r="E37" s="5"/>
      <c r="F37" s="3"/>
      <c r="G37" s="4"/>
      <c r="H37" s="25"/>
      <c r="I37" s="5"/>
    </row>
    <row r="38" spans="1:9" x14ac:dyDescent="0.3">
      <c r="A38" s="1">
        <f t="shared" si="1"/>
        <v>34</v>
      </c>
      <c r="B38" s="2" t="s">
        <v>200</v>
      </c>
      <c r="C38" s="3"/>
      <c r="D38" s="4"/>
      <c r="E38" s="5"/>
      <c r="F38" s="3"/>
      <c r="G38" s="4"/>
      <c r="H38" s="25"/>
      <c r="I38" s="5"/>
    </row>
    <row r="39" spans="1:9" x14ac:dyDescent="0.3">
      <c r="A39" s="1">
        <f t="shared" si="1"/>
        <v>35</v>
      </c>
      <c r="B39" s="2" t="s">
        <v>201</v>
      </c>
      <c r="C39" s="3"/>
      <c r="D39" s="4"/>
      <c r="E39" s="5"/>
      <c r="F39" s="3"/>
      <c r="G39" s="4"/>
      <c r="H39" s="25"/>
      <c r="I39" s="5"/>
    </row>
    <row r="40" spans="1:9" x14ac:dyDescent="0.3">
      <c r="A40" s="1">
        <f t="shared" si="1"/>
        <v>36</v>
      </c>
      <c r="B40" s="2" t="s">
        <v>174</v>
      </c>
      <c r="C40" s="3"/>
      <c r="D40" s="4"/>
      <c r="E40" s="5"/>
      <c r="F40" s="3"/>
      <c r="G40" s="4"/>
      <c r="H40" s="25"/>
      <c r="I40" s="5"/>
    </row>
    <row r="41" spans="1:9" x14ac:dyDescent="0.3">
      <c r="A41" s="1">
        <f t="shared" si="1"/>
        <v>37</v>
      </c>
      <c r="B41" s="2" t="s">
        <v>202</v>
      </c>
      <c r="C41" s="3"/>
      <c r="D41" s="4"/>
      <c r="E41" s="5"/>
      <c r="F41" s="3"/>
      <c r="G41" s="4"/>
      <c r="H41" s="25"/>
      <c r="I41" s="5"/>
    </row>
    <row r="42" spans="1:9" x14ac:dyDescent="0.3">
      <c r="A42" s="1">
        <f t="shared" si="1"/>
        <v>38</v>
      </c>
      <c r="B42" s="2" t="s">
        <v>203</v>
      </c>
      <c r="C42" s="3"/>
      <c r="D42" s="4"/>
      <c r="E42" s="5"/>
      <c r="F42" s="3"/>
      <c r="G42" s="4"/>
      <c r="H42" s="25"/>
      <c r="I42" s="5"/>
    </row>
    <row r="43" spans="1:9" x14ac:dyDescent="0.3">
      <c r="A43" s="1">
        <f t="shared" si="1"/>
        <v>39</v>
      </c>
      <c r="B43" s="2" t="s">
        <v>204</v>
      </c>
      <c r="C43" s="3"/>
      <c r="D43" s="4"/>
      <c r="E43" s="5"/>
      <c r="F43" s="3"/>
      <c r="G43" s="4"/>
      <c r="H43" s="25"/>
      <c r="I43" s="5"/>
    </row>
    <row r="44" spans="1:9" x14ac:dyDescent="0.3">
      <c r="A44" s="1">
        <f t="shared" si="1"/>
        <v>40</v>
      </c>
      <c r="B44" s="2" t="s">
        <v>205</v>
      </c>
      <c r="C44" s="3"/>
      <c r="D44" s="4"/>
      <c r="E44" s="5"/>
      <c r="F44" s="3"/>
      <c r="G44" s="4"/>
      <c r="H44" s="25"/>
      <c r="I44" s="5"/>
    </row>
    <row r="45" spans="1:9" x14ac:dyDescent="0.3">
      <c r="A45" s="1">
        <f t="shared" si="1"/>
        <v>41</v>
      </c>
      <c r="B45" s="2" t="s">
        <v>206</v>
      </c>
      <c r="C45" s="3"/>
      <c r="D45" s="4"/>
      <c r="E45" s="5"/>
      <c r="F45" s="3"/>
      <c r="G45" s="4"/>
      <c r="H45" s="25"/>
      <c r="I45" s="5"/>
    </row>
    <row r="46" spans="1:9" x14ac:dyDescent="0.3">
      <c r="A46" s="1">
        <f t="shared" si="1"/>
        <v>42</v>
      </c>
      <c r="B46" s="2" t="s">
        <v>207</v>
      </c>
      <c r="C46" s="3"/>
      <c r="D46" s="4"/>
      <c r="E46" s="5"/>
      <c r="F46" s="3"/>
      <c r="G46" s="4"/>
      <c r="H46" s="25"/>
      <c r="I46" s="5"/>
    </row>
    <row r="47" spans="1:9" ht="26.4" x14ac:dyDescent="0.3">
      <c r="A47" s="1">
        <f t="shared" si="1"/>
        <v>43</v>
      </c>
      <c r="B47" s="2" t="s">
        <v>208</v>
      </c>
      <c r="C47" s="3"/>
      <c r="D47" s="4"/>
      <c r="E47" s="5"/>
      <c r="F47" s="3"/>
      <c r="G47" s="4"/>
      <c r="H47" s="25"/>
      <c r="I47" s="5"/>
    </row>
    <row r="48" spans="1:9" x14ac:dyDescent="0.3">
      <c r="A48" s="1">
        <f t="shared" si="1"/>
        <v>44</v>
      </c>
      <c r="B48" s="2" t="s">
        <v>209</v>
      </c>
      <c r="C48" s="3"/>
      <c r="D48" s="4"/>
      <c r="E48" s="5"/>
      <c r="F48" s="3"/>
      <c r="G48" s="4"/>
      <c r="H48" s="25"/>
      <c r="I48" s="5"/>
    </row>
    <row r="49" spans="1:9" ht="26.4" x14ac:dyDescent="0.3">
      <c r="A49" s="1">
        <f t="shared" si="1"/>
        <v>45</v>
      </c>
      <c r="B49" s="2" t="s">
        <v>210</v>
      </c>
      <c r="C49" s="3"/>
      <c r="D49" s="4"/>
      <c r="E49" s="5"/>
      <c r="F49" s="3"/>
      <c r="G49" s="4"/>
      <c r="H49" s="25"/>
      <c r="I49" s="5"/>
    </row>
    <row r="50" spans="1:9" ht="39.6" x14ac:dyDescent="0.3">
      <c r="A50" s="1">
        <f t="shared" si="1"/>
        <v>46</v>
      </c>
      <c r="B50" s="2" t="s">
        <v>283</v>
      </c>
      <c r="C50" s="3"/>
      <c r="D50" s="4"/>
      <c r="E50" s="5"/>
      <c r="F50" s="3"/>
      <c r="G50" s="4"/>
      <c r="H50" s="25"/>
      <c r="I50" s="5"/>
    </row>
    <row r="51" spans="1:9" x14ac:dyDescent="0.3">
      <c r="A51" s="1">
        <f t="shared" si="1"/>
        <v>47</v>
      </c>
      <c r="B51" s="2" t="s">
        <v>211</v>
      </c>
      <c r="C51" s="3"/>
      <c r="D51" s="4"/>
      <c r="E51" s="5"/>
      <c r="F51" s="3"/>
      <c r="G51" s="4"/>
      <c r="H51" s="25"/>
      <c r="I51" s="5"/>
    </row>
    <row r="52" spans="1:9" x14ac:dyDescent="0.3">
      <c r="A52" s="1">
        <f t="shared" si="1"/>
        <v>48</v>
      </c>
      <c r="B52" s="2" t="s">
        <v>212</v>
      </c>
      <c r="C52" s="3"/>
      <c r="D52" s="4"/>
      <c r="E52" s="5"/>
      <c r="F52" s="3"/>
      <c r="G52" s="4"/>
      <c r="H52" s="25"/>
      <c r="I52" s="5"/>
    </row>
    <row r="53" spans="1:9" x14ac:dyDescent="0.3">
      <c r="A53" s="1">
        <f t="shared" si="1"/>
        <v>49</v>
      </c>
      <c r="B53" s="2" t="s">
        <v>213</v>
      </c>
      <c r="C53" s="3"/>
      <c r="D53" s="4"/>
      <c r="E53" s="5"/>
      <c r="F53" s="3"/>
      <c r="G53" s="4"/>
      <c r="H53" s="25"/>
      <c r="I53" s="5"/>
    </row>
    <row r="54" spans="1:9" x14ac:dyDescent="0.3">
      <c r="A54" s="1">
        <f t="shared" si="1"/>
        <v>50</v>
      </c>
      <c r="B54" s="2" t="s">
        <v>214</v>
      </c>
      <c r="C54" s="3"/>
      <c r="D54" s="4"/>
      <c r="E54" s="5"/>
      <c r="F54" s="3"/>
      <c r="G54" s="4"/>
      <c r="H54" s="25"/>
      <c r="I54" s="5"/>
    </row>
    <row r="55" spans="1:9" x14ac:dyDescent="0.3">
      <c r="A55" s="1">
        <f t="shared" si="1"/>
        <v>51</v>
      </c>
      <c r="B55" s="2" t="s">
        <v>215</v>
      </c>
      <c r="C55" s="3"/>
      <c r="D55" s="4"/>
      <c r="E55" s="5"/>
      <c r="F55" s="3"/>
      <c r="G55" s="4"/>
      <c r="H55" s="25"/>
      <c r="I55" s="5"/>
    </row>
    <row r="56" spans="1:9" ht="132" x14ac:dyDescent="0.3">
      <c r="A56" s="1">
        <f t="shared" si="1"/>
        <v>52</v>
      </c>
      <c r="B56" s="2" t="s">
        <v>284</v>
      </c>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 ref="B1:E1"/>
    <mergeCell ref="K1:M1"/>
    <mergeCell ref="B2:E2"/>
    <mergeCell ref="K2:M2"/>
    <mergeCell ref="C3:E3"/>
    <mergeCell ref="F3:I3"/>
    <mergeCell ref="J3:M3"/>
  </mergeCells>
  <conditionalFormatting sqref="B5:B104">
    <cfRule type="expression" dxfId="7"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2293" r:id="rId3" name="CommandButton5">
          <controlPr defaultSize="0" autoLine="0" r:id="rId4">
            <anchor moveWithCells="1">
              <from>
                <xdr:col>3</xdr:col>
                <xdr:colOff>426720</xdr:colOff>
                <xdr:row>0</xdr:row>
                <xdr:rowOff>137160</xdr:rowOff>
              </from>
              <to>
                <xdr:col>5</xdr:col>
                <xdr:colOff>45720</xdr:colOff>
                <xdr:row>1</xdr:row>
                <xdr:rowOff>205740</xdr:rowOff>
              </to>
            </anchor>
          </controlPr>
        </control>
      </mc:Choice>
      <mc:Fallback>
        <control shapeId="12293" r:id="rId3" name="CommandButton5"/>
      </mc:Fallback>
    </mc:AlternateContent>
    <mc:AlternateContent xmlns:mc="http://schemas.openxmlformats.org/markup-compatibility/2006">
      <mc:Choice Requires="x14">
        <control shapeId="12294" r:id="rId5" name="CommandButton6">
          <controlPr defaultSize="0" autoLine="0" r:id="rId6">
            <anchor moveWithCells="1">
              <from>
                <xdr:col>5</xdr:col>
                <xdr:colOff>160020</xdr:colOff>
                <xdr:row>0</xdr:row>
                <xdr:rowOff>144780</xdr:rowOff>
              </from>
              <to>
                <xdr:col>6</xdr:col>
                <xdr:colOff>228600</xdr:colOff>
                <xdr:row>1</xdr:row>
                <xdr:rowOff>213360</xdr:rowOff>
              </to>
            </anchor>
          </controlPr>
        </control>
      </mc:Choice>
      <mc:Fallback>
        <control shapeId="12294" r:id="rId5" name="CommandButton6"/>
      </mc:Fallback>
    </mc:AlternateContent>
    <mc:AlternateContent xmlns:mc="http://schemas.openxmlformats.org/markup-compatibility/2006">
      <mc:Choice Requires="x14">
        <control shapeId="12295" r:id="rId7" name="CommandButton7">
          <controlPr defaultSize="0" autoLine="0" r:id="rId8">
            <anchor moveWithCells="1">
              <from>
                <xdr:col>6</xdr:col>
                <xdr:colOff>312420</xdr:colOff>
                <xdr:row>0</xdr:row>
                <xdr:rowOff>144780</xdr:rowOff>
              </from>
              <to>
                <xdr:col>7</xdr:col>
                <xdr:colOff>480060</xdr:colOff>
                <xdr:row>1</xdr:row>
                <xdr:rowOff>213360</xdr:rowOff>
              </to>
            </anchor>
          </controlPr>
        </control>
      </mc:Choice>
      <mc:Fallback>
        <control shapeId="12295" r:id="rId7" name="CommandButton7"/>
      </mc:Fallback>
    </mc:AlternateContent>
    <mc:AlternateContent xmlns:mc="http://schemas.openxmlformats.org/markup-compatibility/2006">
      <mc:Choice Requires="x14">
        <control shapeId="12296" r:id="rId9" name="CommandButton8">
          <controlPr defaultSize="0" autoLine="0" r:id="rId10">
            <anchor moveWithCells="1">
              <from>
                <xdr:col>16</xdr:col>
                <xdr:colOff>0</xdr:colOff>
                <xdr:row>0</xdr:row>
                <xdr:rowOff>0</xdr:rowOff>
              </from>
              <to>
                <xdr:col>17</xdr:col>
                <xdr:colOff>243840</xdr:colOff>
                <xdr:row>1</xdr:row>
                <xdr:rowOff>68580</xdr:rowOff>
              </to>
            </anchor>
          </controlPr>
        </control>
      </mc:Choice>
      <mc:Fallback>
        <control shapeId="12296" r:id="rId9" name="CommandButton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Base!$A$1:$A$2</xm:f>
          </x14:formula1>
          <xm:sqref>C5:E104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0"/>
  <dimension ref="A1:P104"/>
  <sheetViews>
    <sheetView showGridLines="0" showRowColHeaders="0" topLeftCell="B1" zoomScale="90" zoomScaleNormal="90" workbookViewId="0"/>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67" t="s">
        <v>81</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c r="C5" s="3"/>
      <c r="D5" s="4"/>
      <c r="E5" s="5"/>
      <c r="F5" s="3"/>
      <c r="G5" s="4"/>
      <c r="H5" s="24" t="str">
        <f t="shared" ref="H5:H14" si="0">IF(AND(G5&lt;&gt;"",F5&lt;&gt;""),G5/F5,"")</f>
        <v/>
      </c>
      <c r="I5" s="5"/>
      <c r="J5" s="118"/>
      <c r="K5" s="120">
        <f>COUNTA(B5:B104)</f>
        <v>0</v>
      </c>
      <c r="L5" s="122">
        <f>COUNTIF(E5:E104,"OK")</f>
        <v>0</v>
      </c>
      <c r="M5" s="124">
        <f>IFERROR(K5-L5,"")</f>
        <v>0</v>
      </c>
      <c r="N5" s="1">
        <f>K5</f>
        <v>0</v>
      </c>
    </row>
    <row r="6" spans="1:16" x14ac:dyDescent="0.3">
      <c r="A6" s="1">
        <f>A5+1</f>
        <v>2</v>
      </c>
      <c r="B6" s="2"/>
      <c r="C6" s="3"/>
      <c r="D6" s="4"/>
      <c r="E6" s="5"/>
      <c r="F6" s="3"/>
      <c r="G6" s="4"/>
      <c r="H6" s="24" t="str">
        <f t="shared" si="0"/>
        <v/>
      </c>
      <c r="I6" s="5"/>
      <c r="J6" s="118"/>
      <c r="K6" s="121"/>
      <c r="L6" s="123"/>
      <c r="M6" s="125"/>
      <c r="N6" s="1">
        <f>L5</f>
        <v>0</v>
      </c>
    </row>
    <row r="7" spans="1:16" ht="15" thickBot="1" x14ac:dyDescent="0.35">
      <c r="A7" s="1">
        <f t="shared" ref="A7:A70" si="1">A6+1</f>
        <v>3</v>
      </c>
      <c r="B7" s="2"/>
      <c r="C7" s="3"/>
      <c r="D7" s="4"/>
      <c r="E7" s="5"/>
      <c r="F7" s="3"/>
      <c r="G7" s="4"/>
      <c r="H7" s="24" t="str">
        <f t="shared" si="0"/>
        <v/>
      </c>
      <c r="I7" s="5"/>
      <c r="J7" s="118"/>
      <c r="K7" s="18" t="s">
        <v>12</v>
      </c>
      <c r="L7" s="19" t="s">
        <v>14</v>
      </c>
      <c r="M7" s="20" t="s">
        <v>5</v>
      </c>
    </row>
    <row r="8" spans="1:16" ht="16.5" customHeight="1" thickTop="1" x14ac:dyDescent="0.3">
      <c r="A8" s="1">
        <f t="shared" si="1"/>
        <v>4</v>
      </c>
      <c r="B8" s="2"/>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2"/>
      <c r="C9" s="3"/>
      <c r="D9" s="4"/>
      <c r="E9" s="5"/>
      <c r="F9" s="3"/>
      <c r="G9" s="4"/>
      <c r="H9" s="24" t="str">
        <f t="shared" si="0"/>
        <v/>
      </c>
      <c r="I9" s="5"/>
      <c r="J9" s="118"/>
      <c r="K9" s="121"/>
      <c r="L9" s="123"/>
      <c r="M9" s="127"/>
      <c r="N9" s="1">
        <f>L8</f>
        <v>0</v>
      </c>
    </row>
    <row r="10" spans="1:16" ht="15" thickBot="1" x14ac:dyDescent="0.35">
      <c r="A10" s="1">
        <f t="shared" si="1"/>
        <v>6</v>
      </c>
      <c r="B10" s="2"/>
      <c r="C10" s="3"/>
      <c r="D10" s="4"/>
      <c r="E10" s="5"/>
      <c r="F10" s="3"/>
      <c r="G10" s="4"/>
      <c r="H10" s="24" t="str">
        <f t="shared" si="0"/>
        <v/>
      </c>
      <c r="I10" s="5"/>
      <c r="J10" s="118"/>
      <c r="K10" s="128" t="s">
        <v>17</v>
      </c>
      <c r="L10" s="128"/>
      <c r="M10" s="129"/>
    </row>
    <row r="11" spans="1:16" ht="15" thickTop="1" x14ac:dyDescent="0.3">
      <c r="A11" s="1">
        <f t="shared" si="1"/>
        <v>7</v>
      </c>
      <c r="B11" s="2"/>
      <c r="C11" s="3"/>
      <c r="D11" s="4"/>
      <c r="E11" s="5"/>
      <c r="F11" s="3"/>
      <c r="G11" s="4"/>
      <c r="H11" s="24" t="str">
        <f t="shared" si="0"/>
        <v/>
      </c>
      <c r="I11" s="5"/>
      <c r="J11" s="118"/>
      <c r="K11" s="21" t="s">
        <v>22</v>
      </c>
      <c r="L11" s="130" t="s">
        <v>23</v>
      </c>
      <c r="M11" s="131"/>
    </row>
    <row r="12" spans="1:16" x14ac:dyDescent="0.3">
      <c r="A12" s="1">
        <f t="shared" si="1"/>
        <v>8</v>
      </c>
      <c r="B12" s="2"/>
      <c r="C12" s="3"/>
      <c r="D12" s="4"/>
      <c r="E12" s="5"/>
      <c r="F12" s="3"/>
      <c r="G12" s="4"/>
      <c r="H12" s="24" t="str">
        <f t="shared" si="0"/>
        <v/>
      </c>
      <c r="I12" s="5"/>
      <c r="J12" s="118"/>
      <c r="K12" s="22" t="s">
        <v>18</v>
      </c>
      <c r="L12" s="132"/>
      <c r="M12" s="133"/>
      <c r="N12" s="34" t="str">
        <f>IF(L12="","",L12)</f>
        <v/>
      </c>
    </row>
    <row r="13" spans="1:16" x14ac:dyDescent="0.3">
      <c r="A13" s="1">
        <f t="shared" si="1"/>
        <v>9</v>
      </c>
      <c r="B13" s="2"/>
      <c r="C13" s="3"/>
      <c r="D13" s="4"/>
      <c r="E13" s="5"/>
      <c r="F13" s="3"/>
      <c r="G13" s="4"/>
      <c r="H13" s="24" t="str">
        <f t="shared" si="0"/>
        <v/>
      </c>
      <c r="I13" s="5"/>
      <c r="J13" s="118"/>
      <c r="K13" s="23" t="s">
        <v>19</v>
      </c>
      <c r="L13" s="132"/>
      <c r="M13" s="133"/>
      <c r="N13" s="34" t="str">
        <f>IF(L13="","",L13)</f>
        <v/>
      </c>
    </row>
    <row r="14" spans="1:16" x14ac:dyDescent="0.3">
      <c r="A14" s="1">
        <f t="shared" si="1"/>
        <v>10</v>
      </c>
      <c r="B14" s="2"/>
      <c r="C14" s="3"/>
      <c r="D14" s="4"/>
      <c r="E14" s="5"/>
      <c r="F14" s="3"/>
      <c r="G14" s="4"/>
      <c r="H14" s="24" t="str">
        <f t="shared" si="0"/>
        <v/>
      </c>
      <c r="I14" s="5"/>
      <c r="J14" s="118"/>
      <c r="K14" s="23" t="s">
        <v>20</v>
      </c>
      <c r="L14" s="132"/>
      <c r="M14" s="133"/>
      <c r="N14" s="34" t="str">
        <f>IF(L14="","",L14)</f>
        <v/>
      </c>
    </row>
    <row r="15" spans="1:16" ht="31.5" customHeight="1" thickBot="1" x14ac:dyDescent="0.35">
      <c r="A15" s="1">
        <f t="shared" si="1"/>
        <v>11</v>
      </c>
      <c r="B15" s="2"/>
      <c r="C15" s="3"/>
      <c r="D15" s="4"/>
      <c r="E15" s="5"/>
      <c r="F15" s="3"/>
      <c r="G15" s="4"/>
      <c r="H15" s="25"/>
      <c r="I15" s="5"/>
      <c r="J15" s="118"/>
      <c r="K15" s="128" t="s">
        <v>24</v>
      </c>
      <c r="L15" s="128"/>
      <c r="M15" s="129"/>
    </row>
    <row r="16" spans="1:16" ht="15" thickTop="1" x14ac:dyDescent="0.3">
      <c r="A16" s="1">
        <f t="shared" si="1"/>
        <v>12</v>
      </c>
      <c r="B16" s="2"/>
      <c r="C16" s="3"/>
      <c r="D16" s="4"/>
      <c r="E16" s="5"/>
      <c r="F16" s="3"/>
      <c r="G16" s="4"/>
      <c r="H16" s="25"/>
      <c r="I16" s="5"/>
      <c r="J16" s="118"/>
      <c r="K16" s="134"/>
      <c r="L16" s="135"/>
      <c r="M16" s="136"/>
    </row>
    <row r="17" spans="1:13" x14ac:dyDescent="0.3">
      <c r="A17" s="1">
        <f t="shared" si="1"/>
        <v>13</v>
      </c>
      <c r="B17" s="2"/>
      <c r="C17" s="3"/>
      <c r="D17" s="4"/>
      <c r="E17" s="5"/>
      <c r="F17" s="3"/>
      <c r="G17" s="4"/>
      <c r="H17" s="25"/>
      <c r="I17" s="5"/>
      <c r="J17" s="118"/>
      <c r="K17" s="134"/>
      <c r="L17" s="135"/>
      <c r="M17" s="136"/>
    </row>
    <row r="18" spans="1:13" ht="18.75" customHeight="1" thickBot="1" x14ac:dyDescent="0.35">
      <c r="A18" s="1">
        <f t="shared" si="1"/>
        <v>14</v>
      </c>
      <c r="B18" s="2"/>
      <c r="C18" s="3"/>
      <c r="D18" s="4"/>
      <c r="E18" s="5"/>
      <c r="F18" s="3"/>
      <c r="G18" s="4"/>
      <c r="H18" s="25"/>
      <c r="I18" s="5"/>
      <c r="J18" s="119"/>
      <c r="K18" s="114"/>
      <c r="L18" s="115"/>
      <c r="M18" s="116"/>
    </row>
    <row r="19" spans="1:13" ht="15" thickTop="1" x14ac:dyDescent="0.3">
      <c r="A19" s="1">
        <f t="shared" si="1"/>
        <v>15</v>
      </c>
      <c r="B19" s="2"/>
      <c r="C19" s="3"/>
      <c r="D19" s="4"/>
      <c r="E19" s="5"/>
      <c r="F19" s="3"/>
      <c r="G19" s="4"/>
      <c r="H19" s="25"/>
      <c r="I19" s="5"/>
      <c r="K19" s="14"/>
      <c r="L19" s="14"/>
      <c r="M19" s="14"/>
    </row>
    <row r="20" spans="1:13" x14ac:dyDescent="0.3">
      <c r="A20" s="1">
        <f t="shared" si="1"/>
        <v>16</v>
      </c>
      <c r="B20" s="2"/>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21"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 ref="B1:E1"/>
    <mergeCell ref="K1:M1"/>
    <mergeCell ref="B2:E2"/>
    <mergeCell ref="K2:M2"/>
    <mergeCell ref="C3:E3"/>
    <mergeCell ref="F3:I3"/>
    <mergeCell ref="J3:M3"/>
  </mergeCells>
  <conditionalFormatting sqref="B5:B104">
    <cfRule type="expression" dxfId="6"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3317" r:id="rId3" name="CommandButton5">
          <controlPr defaultSize="0" autoLine="0" r:id="rId4">
            <anchor moveWithCells="1">
              <from>
                <xdr:col>3</xdr:col>
                <xdr:colOff>403860</xdr:colOff>
                <xdr:row>0</xdr:row>
                <xdr:rowOff>137160</xdr:rowOff>
              </from>
              <to>
                <xdr:col>5</xdr:col>
                <xdr:colOff>129540</xdr:colOff>
                <xdr:row>1</xdr:row>
                <xdr:rowOff>190500</xdr:rowOff>
              </to>
            </anchor>
          </controlPr>
        </control>
      </mc:Choice>
      <mc:Fallback>
        <control shapeId="13317" r:id="rId3" name="CommandButton5"/>
      </mc:Fallback>
    </mc:AlternateContent>
    <mc:AlternateContent xmlns:mc="http://schemas.openxmlformats.org/markup-compatibility/2006">
      <mc:Choice Requires="x14">
        <control shapeId="13318" r:id="rId5" name="CommandButton6">
          <controlPr defaultSize="0" autoLine="0" r:id="rId6">
            <anchor moveWithCells="1">
              <from>
                <xdr:col>5</xdr:col>
                <xdr:colOff>236220</xdr:colOff>
                <xdr:row>0</xdr:row>
                <xdr:rowOff>121920</xdr:rowOff>
              </from>
              <to>
                <xdr:col>6</xdr:col>
                <xdr:colOff>419100</xdr:colOff>
                <xdr:row>1</xdr:row>
                <xdr:rowOff>182880</xdr:rowOff>
              </to>
            </anchor>
          </controlPr>
        </control>
      </mc:Choice>
      <mc:Fallback>
        <control shapeId="13318" r:id="rId5" name="CommandButton6"/>
      </mc:Fallback>
    </mc:AlternateContent>
    <mc:AlternateContent xmlns:mc="http://schemas.openxmlformats.org/markup-compatibility/2006">
      <mc:Choice Requires="x14">
        <control shapeId="13319" r:id="rId7" name="CommandButton7">
          <controlPr defaultSize="0" autoLine="0" r:id="rId8">
            <anchor moveWithCells="1">
              <from>
                <xdr:col>6</xdr:col>
                <xdr:colOff>518160</xdr:colOff>
                <xdr:row>0</xdr:row>
                <xdr:rowOff>121920</xdr:rowOff>
              </from>
              <to>
                <xdr:col>8</xdr:col>
                <xdr:colOff>22860</xdr:colOff>
                <xdr:row>1</xdr:row>
                <xdr:rowOff>182880</xdr:rowOff>
              </to>
            </anchor>
          </controlPr>
        </control>
      </mc:Choice>
      <mc:Fallback>
        <control shapeId="13319" r:id="rId7" name="CommandButton7"/>
      </mc:Fallback>
    </mc:AlternateContent>
    <mc:AlternateContent xmlns:mc="http://schemas.openxmlformats.org/markup-compatibility/2006">
      <mc:Choice Requires="x14">
        <control shapeId="13320" r:id="rId9" name="CommandButton8">
          <controlPr defaultSize="0" autoLine="0" r:id="rId10">
            <anchor moveWithCells="1">
              <from>
                <xdr:col>16</xdr:col>
                <xdr:colOff>7620</xdr:colOff>
                <xdr:row>0</xdr:row>
                <xdr:rowOff>0</xdr:rowOff>
              </from>
              <to>
                <xdr:col>17</xdr:col>
                <xdr:colOff>335280</xdr:colOff>
                <xdr:row>1</xdr:row>
                <xdr:rowOff>60960</xdr:rowOff>
              </to>
            </anchor>
          </controlPr>
        </control>
      </mc:Choice>
      <mc:Fallback>
        <control shapeId="13320" r:id="rId9" name="CommandButton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Base!$A$1:$A$2</xm:f>
          </x14:formula1>
          <xm:sqref>C5:E104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11"/>
  <dimension ref="A1:P104"/>
  <sheetViews>
    <sheetView showGridLines="0" showRowColHeaders="0" topLeftCell="B1" zoomScale="90" zoomScaleNormal="90" workbookViewId="0"/>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v>3.9664351851851853E-2</v>
      </c>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94</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289</v>
      </c>
      <c r="C5" s="3"/>
      <c r="D5" s="4"/>
      <c r="E5" s="5"/>
      <c r="F5" s="3">
        <v>5</v>
      </c>
      <c r="G5" s="4">
        <v>4</v>
      </c>
      <c r="H5" s="24">
        <f t="shared" ref="H5:H14" si="0">IF(AND(G5&lt;&gt;"",F5&lt;&gt;""),G5/F5,"")</f>
        <v>0.8</v>
      </c>
      <c r="I5" s="5"/>
      <c r="J5" s="118"/>
      <c r="K5" s="120">
        <f>COUNTA(B5:B104)</f>
        <v>44</v>
      </c>
      <c r="L5" s="122">
        <f>COUNTIF(E5:E104,"OK")</f>
        <v>0</v>
      </c>
      <c r="M5" s="124">
        <f>IFERROR(K5-L5,"")</f>
        <v>44</v>
      </c>
      <c r="N5" s="1">
        <f>K5</f>
        <v>44</v>
      </c>
    </row>
    <row r="6" spans="1:16" x14ac:dyDescent="0.3">
      <c r="A6" s="1">
        <f>A5+1</f>
        <v>2</v>
      </c>
      <c r="B6" s="2" t="s">
        <v>290</v>
      </c>
      <c r="C6" s="3"/>
      <c r="D6" s="4"/>
      <c r="E6" s="5"/>
      <c r="F6" s="3"/>
      <c r="G6" s="4"/>
      <c r="H6" s="24" t="str">
        <f t="shared" si="0"/>
        <v/>
      </c>
      <c r="I6" s="5"/>
      <c r="J6" s="118"/>
      <c r="K6" s="121"/>
      <c r="L6" s="123"/>
      <c r="M6" s="125"/>
      <c r="N6" s="1">
        <f>L5</f>
        <v>0</v>
      </c>
    </row>
    <row r="7" spans="1:16" ht="15" thickBot="1" x14ac:dyDescent="0.35">
      <c r="A7" s="1">
        <f t="shared" ref="A7:A70" si="1">A6+1</f>
        <v>3</v>
      </c>
      <c r="B7" s="2" t="s">
        <v>291</v>
      </c>
      <c r="C7" s="3"/>
      <c r="D7" s="4"/>
      <c r="E7" s="5"/>
      <c r="F7" s="3"/>
      <c r="G7" s="4"/>
      <c r="H7" s="24" t="str">
        <f t="shared" si="0"/>
        <v/>
      </c>
      <c r="I7" s="5"/>
      <c r="J7" s="118"/>
      <c r="K7" s="18" t="s">
        <v>12</v>
      </c>
      <c r="L7" s="19" t="s">
        <v>14</v>
      </c>
      <c r="M7" s="20" t="s">
        <v>5</v>
      </c>
    </row>
    <row r="8" spans="1:16" ht="16.5" customHeight="1" thickTop="1" x14ac:dyDescent="0.3">
      <c r="A8" s="1">
        <f t="shared" si="1"/>
        <v>4</v>
      </c>
      <c r="B8" s="2" t="s">
        <v>292</v>
      </c>
      <c r="C8" s="3"/>
      <c r="D8" s="4"/>
      <c r="E8" s="5"/>
      <c r="F8" s="3"/>
      <c r="G8" s="4"/>
      <c r="H8" s="24" t="str">
        <f t="shared" si="0"/>
        <v/>
      </c>
      <c r="I8" s="5"/>
      <c r="J8" s="118"/>
      <c r="K8" s="120">
        <f>IFERROR(SUM(F5:F104),"")</f>
        <v>5</v>
      </c>
      <c r="L8" s="122">
        <f>IFERROR(SUM(G5:G104),"")</f>
        <v>4</v>
      </c>
      <c r="M8" s="126">
        <f>IFERROR(L8/K8,"")</f>
        <v>0.8</v>
      </c>
      <c r="N8" s="1">
        <f>K8</f>
        <v>5</v>
      </c>
    </row>
    <row r="9" spans="1:16" x14ac:dyDescent="0.3">
      <c r="A9" s="1">
        <f t="shared" si="1"/>
        <v>5</v>
      </c>
      <c r="B9" s="2" t="s">
        <v>293</v>
      </c>
      <c r="C9" s="3"/>
      <c r="D9" s="4"/>
      <c r="E9" s="5"/>
      <c r="F9" s="3"/>
      <c r="G9" s="4"/>
      <c r="H9" s="24" t="str">
        <f t="shared" si="0"/>
        <v/>
      </c>
      <c r="I9" s="5"/>
      <c r="J9" s="118"/>
      <c r="K9" s="121"/>
      <c r="L9" s="123"/>
      <c r="M9" s="127"/>
      <c r="N9" s="1">
        <f>L8</f>
        <v>4</v>
      </c>
    </row>
    <row r="10" spans="1:16" ht="15" thickBot="1" x14ac:dyDescent="0.35">
      <c r="A10" s="1">
        <f t="shared" si="1"/>
        <v>6</v>
      </c>
      <c r="B10" s="2" t="s">
        <v>294</v>
      </c>
      <c r="C10" s="3"/>
      <c r="D10" s="4"/>
      <c r="E10" s="5"/>
      <c r="F10" s="3"/>
      <c r="G10" s="4"/>
      <c r="H10" s="24" t="str">
        <f t="shared" si="0"/>
        <v/>
      </c>
      <c r="I10" s="5"/>
      <c r="J10" s="118"/>
      <c r="K10" s="128" t="s">
        <v>17</v>
      </c>
      <c r="L10" s="128"/>
      <c r="M10" s="129"/>
    </row>
    <row r="11" spans="1:16" ht="15" thickTop="1" x14ac:dyDescent="0.3">
      <c r="A11" s="1">
        <f t="shared" si="1"/>
        <v>7</v>
      </c>
      <c r="B11" s="2" t="s">
        <v>295</v>
      </c>
      <c r="C11" s="3"/>
      <c r="D11" s="4"/>
      <c r="E11" s="5"/>
      <c r="F11" s="3"/>
      <c r="G11" s="4"/>
      <c r="H11" s="24" t="str">
        <f t="shared" si="0"/>
        <v/>
      </c>
      <c r="I11" s="5"/>
      <c r="J11" s="118"/>
      <c r="K11" s="21" t="s">
        <v>22</v>
      </c>
      <c r="L11" s="130" t="s">
        <v>23</v>
      </c>
      <c r="M11" s="131"/>
    </row>
    <row r="12" spans="1:16" x14ac:dyDescent="0.3">
      <c r="A12" s="1">
        <f t="shared" si="1"/>
        <v>8</v>
      </c>
      <c r="B12" s="2" t="s">
        <v>296</v>
      </c>
      <c r="C12" s="3"/>
      <c r="D12" s="4"/>
      <c r="E12" s="5"/>
      <c r="F12" s="3"/>
      <c r="G12" s="4"/>
      <c r="H12" s="24" t="str">
        <f t="shared" si="0"/>
        <v/>
      </c>
      <c r="I12" s="5"/>
      <c r="J12" s="118"/>
      <c r="K12" s="22" t="s">
        <v>18</v>
      </c>
      <c r="L12" s="132"/>
      <c r="M12" s="133"/>
      <c r="N12" s="34" t="str">
        <f>IF(L12="","",L12)</f>
        <v/>
      </c>
    </row>
    <row r="13" spans="1:16" x14ac:dyDescent="0.3">
      <c r="A13" s="1">
        <f t="shared" si="1"/>
        <v>9</v>
      </c>
      <c r="B13" s="2" t="s">
        <v>297</v>
      </c>
      <c r="C13" s="3"/>
      <c r="D13" s="4"/>
      <c r="E13" s="5"/>
      <c r="F13" s="3"/>
      <c r="G13" s="4"/>
      <c r="H13" s="24" t="str">
        <f t="shared" si="0"/>
        <v/>
      </c>
      <c r="I13" s="5"/>
      <c r="J13" s="118"/>
      <c r="K13" s="23" t="s">
        <v>19</v>
      </c>
      <c r="L13" s="132"/>
      <c r="M13" s="133"/>
      <c r="N13" s="34" t="str">
        <f>IF(L13="","",L13)</f>
        <v/>
      </c>
    </row>
    <row r="14" spans="1:16" x14ac:dyDescent="0.3">
      <c r="A14" s="1">
        <f t="shared" si="1"/>
        <v>10</v>
      </c>
      <c r="B14" s="2" t="s">
        <v>298</v>
      </c>
      <c r="C14" s="3"/>
      <c r="D14" s="4"/>
      <c r="E14" s="5"/>
      <c r="F14" s="3"/>
      <c r="G14" s="4"/>
      <c r="H14" s="24" t="str">
        <f t="shared" si="0"/>
        <v/>
      </c>
      <c r="I14" s="5"/>
      <c r="J14" s="118"/>
      <c r="K14" s="23" t="s">
        <v>20</v>
      </c>
      <c r="L14" s="132"/>
      <c r="M14" s="133"/>
      <c r="N14" s="34" t="str">
        <f>IF(L14="","",L14)</f>
        <v/>
      </c>
    </row>
    <row r="15" spans="1:16" ht="17.25" customHeight="1" thickBot="1" x14ac:dyDescent="0.35">
      <c r="A15" s="1">
        <f t="shared" si="1"/>
        <v>11</v>
      </c>
      <c r="B15" s="2" t="s">
        <v>299</v>
      </c>
      <c r="C15" s="3"/>
      <c r="D15" s="4"/>
      <c r="E15" s="5"/>
      <c r="F15" s="3"/>
      <c r="G15" s="4"/>
      <c r="H15" s="25"/>
      <c r="I15" s="5"/>
      <c r="J15" s="118"/>
      <c r="K15" s="128" t="s">
        <v>24</v>
      </c>
      <c r="L15" s="128"/>
      <c r="M15" s="129"/>
    </row>
    <row r="16" spans="1:16" ht="15" thickTop="1" x14ac:dyDescent="0.3">
      <c r="A16" s="1">
        <f t="shared" si="1"/>
        <v>12</v>
      </c>
      <c r="B16" s="2" t="s">
        <v>300</v>
      </c>
      <c r="C16" s="3"/>
      <c r="D16" s="4"/>
      <c r="E16" s="5"/>
      <c r="F16" s="3"/>
      <c r="G16" s="4"/>
      <c r="H16" s="25"/>
      <c r="I16" s="5"/>
      <c r="J16" s="118"/>
      <c r="K16" s="134"/>
      <c r="L16" s="135"/>
      <c r="M16" s="136"/>
    </row>
    <row r="17" spans="1:13" x14ac:dyDescent="0.3">
      <c r="A17" s="1">
        <f t="shared" si="1"/>
        <v>13</v>
      </c>
      <c r="B17" s="2" t="s">
        <v>301</v>
      </c>
      <c r="C17" s="3"/>
      <c r="D17" s="4"/>
      <c r="E17" s="5"/>
      <c r="F17" s="3"/>
      <c r="G17" s="4"/>
      <c r="H17" s="25"/>
      <c r="I17" s="5"/>
      <c r="J17" s="118"/>
      <c r="K17" s="134"/>
      <c r="L17" s="135"/>
      <c r="M17" s="136"/>
    </row>
    <row r="18" spans="1:13" ht="18.75" customHeight="1" thickBot="1" x14ac:dyDescent="0.35">
      <c r="A18" s="1">
        <f t="shared" si="1"/>
        <v>14</v>
      </c>
      <c r="B18" s="2" t="s">
        <v>302</v>
      </c>
      <c r="C18" s="3"/>
      <c r="D18" s="4"/>
      <c r="E18" s="5"/>
      <c r="F18" s="3"/>
      <c r="G18" s="4"/>
      <c r="H18" s="25"/>
      <c r="I18" s="5"/>
      <c r="J18" s="119"/>
      <c r="K18" s="114"/>
      <c r="L18" s="115"/>
      <c r="M18" s="116"/>
    </row>
    <row r="19" spans="1:13" ht="15" thickTop="1" x14ac:dyDescent="0.3">
      <c r="A19" s="1">
        <f t="shared" si="1"/>
        <v>15</v>
      </c>
      <c r="B19" s="2" t="s">
        <v>303</v>
      </c>
      <c r="C19" s="3"/>
      <c r="D19" s="4"/>
      <c r="E19" s="5"/>
      <c r="F19" s="3"/>
      <c r="G19" s="4"/>
      <c r="H19" s="25"/>
      <c r="I19" s="5"/>
      <c r="K19" s="14"/>
      <c r="L19" s="14"/>
      <c r="M19" s="14"/>
    </row>
    <row r="20" spans="1:13" x14ac:dyDescent="0.3">
      <c r="A20" s="1">
        <f t="shared" si="1"/>
        <v>16</v>
      </c>
      <c r="B20" s="2" t="s">
        <v>304</v>
      </c>
      <c r="C20" s="3"/>
      <c r="D20" s="4"/>
      <c r="E20" s="5"/>
      <c r="F20" s="3"/>
      <c r="G20" s="4"/>
      <c r="H20" s="25"/>
      <c r="I20" s="5"/>
    </row>
    <row r="21" spans="1:13" x14ac:dyDescent="0.3">
      <c r="A21" s="1">
        <f t="shared" si="1"/>
        <v>17</v>
      </c>
      <c r="B21" s="2" t="s">
        <v>305</v>
      </c>
      <c r="C21" s="3"/>
      <c r="D21" s="4"/>
      <c r="E21" s="5"/>
      <c r="F21" s="3"/>
      <c r="G21" s="4"/>
      <c r="H21" s="25"/>
      <c r="I21" s="5"/>
    </row>
    <row r="22" spans="1:13" x14ac:dyDescent="0.3">
      <c r="A22" s="1">
        <f t="shared" si="1"/>
        <v>18</v>
      </c>
      <c r="B22" s="2" t="s">
        <v>306</v>
      </c>
      <c r="C22" s="3"/>
      <c r="D22" s="4"/>
      <c r="E22" s="5"/>
      <c r="F22" s="3"/>
      <c r="G22" s="4"/>
      <c r="H22" s="25"/>
      <c r="I22" s="5"/>
    </row>
    <row r="23" spans="1:13" ht="21" customHeight="1" x14ac:dyDescent="0.3">
      <c r="A23" s="1">
        <f t="shared" si="1"/>
        <v>19</v>
      </c>
      <c r="B23" s="2" t="s">
        <v>307</v>
      </c>
      <c r="C23" s="3"/>
      <c r="D23" s="4"/>
      <c r="E23" s="5"/>
      <c r="F23" s="3"/>
      <c r="G23" s="4"/>
      <c r="H23" s="25"/>
      <c r="I23" s="5"/>
    </row>
    <row r="24" spans="1:13" x14ac:dyDescent="0.3">
      <c r="A24" s="1">
        <f t="shared" si="1"/>
        <v>20</v>
      </c>
      <c r="B24" s="2" t="s">
        <v>338</v>
      </c>
      <c r="C24" s="3" t="s">
        <v>10</v>
      </c>
      <c r="D24" s="4" t="s">
        <v>10</v>
      </c>
      <c r="E24" s="5"/>
      <c r="F24" s="3"/>
      <c r="G24" s="4"/>
      <c r="H24" s="25"/>
      <c r="I24" s="5"/>
    </row>
    <row r="25" spans="1:13" x14ac:dyDescent="0.3">
      <c r="A25" s="1">
        <f t="shared" si="1"/>
        <v>21</v>
      </c>
      <c r="B25" s="2" t="s">
        <v>308</v>
      </c>
      <c r="C25" s="3"/>
      <c r="D25" s="4"/>
      <c r="E25" s="5"/>
      <c r="F25" s="3"/>
      <c r="G25" s="4"/>
      <c r="H25" s="25"/>
      <c r="I25" s="5"/>
    </row>
    <row r="26" spans="1:13" x14ac:dyDescent="0.3">
      <c r="A26" s="1">
        <f t="shared" si="1"/>
        <v>22</v>
      </c>
      <c r="B26" s="2" t="s">
        <v>309</v>
      </c>
      <c r="C26" s="3"/>
      <c r="D26" s="4"/>
      <c r="E26" s="5"/>
      <c r="F26" s="3"/>
      <c r="G26" s="4"/>
      <c r="H26" s="25"/>
      <c r="I26" s="5"/>
    </row>
    <row r="27" spans="1:13" x14ac:dyDescent="0.3">
      <c r="A27" s="1">
        <f t="shared" si="1"/>
        <v>23</v>
      </c>
      <c r="B27" s="2" t="s">
        <v>310</v>
      </c>
      <c r="C27" s="3"/>
      <c r="D27" s="4"/>
      <c r="E27" s="5"/>
      <c r="F27" s="3"/>
      <c r="G27" s="4"/>
      <c r="H27" s="25"/>
      <c r="I27" s="5"/>
    </row>
    <row r="28" spans="1:13" x14ac:dyDescent="0.3">
      <c r="A28" s="1">
        <f t="shared" si="1"/>
        <v>24</v>
      </c>
      <c r="B28" s="2" t="s">
        <v>311</v>
      </c>
      <c r="C28" s="3"/>
      <c r="D28" s="4"/>
      <c r="E28" s="5"/>
      <c r="F28" s="3"/>
      <c r="G28" s="4"/>
      <c r="H28" s="25"/>
      <c r="I28" s="5"/>
    </row>
    <row r="29" spans="1:13" x14ac:dyDescent="0.3">
      <c r="A29" s="1">
        <f t="shared" si="1"/>
        <v>25</v>
      </c>
      <c r="B29" s="2" t="s">
        <v>312</v>
      </c>
      <c r="C29" s="3"/>
      <c r="D29" s="4"/>
      <c r="E29" s="5"/>
      <c r="F29" s="3"/>
      <c r="G29" s="4"/>
      <c r="H29" s="25"/>
      <c r="I29" s="5"/>
    </row>
    <row r="30" spans="1:13" x14ac:dyDescent="0.3">
      <c r="A30" s="1">
        <f t="shared" si="1"/>
        <v>26</v>
      </c>
      <c r="B30" s="2" t="s">
        <v>313</v>
      </c>
      <c r="C30" s="3"/>
      <c r="D30" s="4"/>
      <c r="E30" s="5"/>
      <c r="F30" s="3"/>
      <c r="G30" s="4"/>
      <c r="H30" s="25"/>
      <c r="I30" s="5"/>
    </row>
    <row r="31" spans="1:13" x14ac:dyDescent="0.3">
      <c r="A31" s="1">
        <f t="shared" si="1"/>
        <v>27</v>
      </c>
      <c r="B31" s="2" t="s">
        <v>314</v>
      </c>
      <c r="C31" s="3"/>
      <c r="D31" s="4"/>
      <c r="E31" s="5"/>
      <c r="F31" s="3"/>
      <c r="G31" s="4"/>
      <c r="H31" s="25"/>
      <c r="I31" s="5"/>
    </row>
    <row r="32" spans="1:13" x14ac:dyDescent="0.3">
      <c r="A32" s="1">
        <f t="shared" si="1"/>
        <v>28</v>
      </c>
      <c r="B32" s="2" t="s">
        <v>315</v>
      </c>
      <c r="C32" s="3"/>
      <c r="D32" s="4"/>
      <c r="E32" s="5"/>
      <c r="F32" s="3"/>
      <c r="G32" s="4"/>
      <c r="H32" s="25"/>
      <c r="I32" s="5"/>
    </row>
    <row r="33" spans="1:9" x14ac:dyDescent="0.3">
      <c r="A33" s="1">
        <f t="shared" si="1"/>
        <v>29</v>
      </c>
      <c r="B33" s="2" t="s">
        <v>316</v>
      </c>
      <c r="C33" s="3"/>
      <c r="D33" s="4"/>
      <c r="E33" s="5"/>
      <c r="F33" s="3"/>
      <c r="G33" s="4"/>
      <c r="H33" s="25"/>
      <c r="I33" s="5"/>
    </row>
    <row r="34" spans="1:9" x14ac:dyDescent="0.3">
      <c r="A34" s="1">
        <f t="shared" si="1"/>
        <v>30</v>
      </c>
      <c r="B34" s="2" t="s">
        <v>317</v>
      </c>
      <c r="C34" s="3"/>
      <c r="D34" s="4"/>
      <c r="E34" s="5"/>
      <c r="F34" s="3"/>
      <c r="G34" s="4"/>
      <c r="H34" s="25"/>
      <c r="I34" s="5"/>
    </row>
    <row r="35" spans="1:9" x14ac:dyDescent="0.3">
      <c r="A35" s="1">
        <f t="shared" si="1"/>
        <v>31</v>
      </c>
      <c r="B35" s="2" t="s">
        <v>318</v>
      </c>
      <c r="C35" s="3"/>
      <c r="D35" s="4"/>
      <c r="E35" s="5"/>
      <c r="F35" s="3"/>
      <c r="G35" s="4"/>
      <c r="H35" s="25"/>
      <c r="I35" s="5"/>
    </row>
    <row r="36" spans="1:9" x14ac:dyDescent="0.3">
      <c r="A36" s="1">
        <f t="shared" si="1"/>
        <v>32</v>
      </c>
      <c r="B36" s="2" t="s">
        <v>319</v>
      </c>
      <c r="C36" s="3"/>
      <c r="D36" s="4"/>
      <c r="E36" s="5"/>
      <c r="F36" s="3"/>
      <c r="G36" s="4"/>
      <c r="H36" s="25"/>
      <c r="I36" s="5"/>
    </row>
    <row r="37" spans="1:9" x14ac:dyDescent="0.3">
      <c r="A37" s="1">
        <f t="shared" si="1"/>
        <v>33</v>
      </c>
      <c r="B37" s="2" t="s">
        <v>320</v>
      </c>
      <c r="C37" s="3"/>
      <c r="D37" s="4"/>
      <c r="E37" s="5"/>
      <c r="F37" s="3"/>
      <c r="G37" s="4"/>
      <c r="H37" s="25"/>
      <c r="I37" s="5"/>
    </row>
    <row r="38" spans="1:9" x14ac:dyDescent="0.3">
      <c r="A38" s="1">
        <f t="shared" si="1"/>
        <v>34</v>
      </c>
      <c r="B38" s="2" t="s">
        <v>321</v>
      </c>
      <c r="C38" s="3"/>
      <c r="D38" s="4"/>
      <c r="E38" s="5"/>
      <c r="F38" s="3"/>
      <c r="G38" s="4"/>
      <c r="H38" s="25"/>
      <c r="I38" s="5"/>
    </row>
    <row r="39" spans="1:9" x14ac:dyDescent="0.3">
      <c r="A39" s="1">
        <f t="shared" si="1"/>
        <v>35</v>
      </c>
      <c r="B39" s="2" t="s">
        <v>322</v>
      </c>
      <c r="C39" s="3"/>
      <c r="D39" s="4"/>
      <c r="E39" s="5"/>
      <c r="F39" s="3"/>
      <c r="G39" s="4"/>
      <c r="H39" s="25"/>
      <c r="I39" s="5"/>
    </row>
    <row r="40" spans="1:9" x14ac:dyDescent="0.3">
      <c r="A40" s="1">
        <f t="shared" si="1"/>
        <v>36</v>
      </c>
      <c r="B40" s="2" t="s">
        <v>323</v>
      </c>
      <c r="C40" s="3"/>
      <c r="D40" s="4"/>
      <c r="E40" s="5"/>
      <c r="F40" s="3"/>
      <c r="G40" s="4"/>
      <c r="H40" s="25"/>
      <c r="I40" s="5"/>
    </row>
    <row r="41" spans="1:9" x14ac:dyDescent="0.3">
      <c r="A41" s="1">
        <f t="shared" si="1"/>
        <v>37</v>
      </c>
      <c r="B41" s="2" t="s">
        <v>324</v>
      </c>
      <c r="C41" s="3"/>
      <c r="D41" s="4"/>
      <c r="E41" s="5"/>
      <c r="F41" s="3"/>
      <c r="G41" s="4"/>
      <c r="H41" s="25"/>
      <c r="I41" s="5"/>
    </row>
    <row r="42" spans="1:9" x14ac:dyDescent="0.3">
      <c r="A42" s="1">
        <f t="shared" si="1"/>
        <v>38</v>
      </c>
      <c r="B42" s="2" t="s">
        <v>325</v>
      </c>
      <c r="C42" s="3"/>
      <c r="D42" s="4"/>
      <c r="E42" s="5"/>
      <c r="F42" s="3"/>
      <c r="G42" s="4"/>
      <c r="H42" s="25"/>
      <c r="I42" s="5"/>
    </row>
    <row r="43" spans="1:9" x14ac:dyDescent="0.3">
      <c r="A43" s="1">
        <f t="shared" si="1"/>
        <v>39</v>
      </c>
      <c r="B43" s="2" t="s">
        <v>326</v>
      </c>
      <c r="C43" s="3"/>
      <c r="D43" s="4"/>
      <c r="E43" s="5"/>
      <c r="F43" s="3"/>
      <c r="G43" s="4"/>
      <c r="H43" s="25"/>
      <c r="I43" s="5"/>
    </row>
    <row r="44" spans="1:9" x14ac:dyDescent="0.3">
      <c r="A44" s="1">
        <f t="shared" si="1"/>
        <v>40</v>
      </c>
      <c r="B44" s="2" t="s">
        <v>327</v>
      </c>
      <c r="C44" s="3"/>
      <c r="D44" s="4"/>
      <c r="E44" s="5"/>
      <c r="F44" s="3"/>
      <c r="G44" s="4"/>
      <c r="H44" s="25"/>
      <c r="I44" s="5"/>
    </row>
    <row r="45" spans="1:9" x14ac:dyDescent="0.3">
      <c r="A45" s="1">
        <f t="shared" si="1"/>
        <v>41</v>
      </c>
      <c r="B45" s="2" t="s">
        <v>328</v>
      </c>
      <c r="C45" s="3"/>
      <c r="D45" s="4"/>
      <c r="E45" s="5"/>
      <c r="F45" s="3"/>
      <c r="G45" s="4"/>
      <c r="H45" s="25"/>
      <c r="I45" s="5"/>
    </row>
    <row r="46" spans="1:9" x14ac:dyDescent="0.3">
      <c r="A46" s="1">
        <f t="shared" si="1"/>
        <v>42</v>
      </c>
      <c r="B46" s="2" t="s">
        <v>329</v>
      </c>
      <c r="C46" s="3"/>
      <c r="D46" s="4"/>
      <c r="E46" s="5"/>
      <c r="F46" s="3"/>
      <c r="G46" s="4"/>
      <c r="H46" s="25"/>
      <c r="I46" s="5"/>
    </row>
    <row r="47" spans="1:9" x14ac:dyDescent="0.3">
      <c r="A47" s="1">
        <f t="shared" si="1"/>
        <v>43</v>
      </c>
      <c r="B47" s="2" t="s">
        <v>330</v>
      </c>
      <c r="C47" s="3"/>
      <c r="D47" s="4"/>
      <c r="E47" s="5"/>
      <c r="F47" s="3"/>
      <c r="G47" s="4"/>
      <c r="H47" s="25"/>
      <c r="I47" s="5"/>
    </row>
    <row r="48" spans="1:9" x14ac:dyDescent="0.3">
      <c r="A48" s="1">
        <f t="shared" si="1"/>
        <v>44</v>
      </c>
      <c r="B48" s="2" t="s">
        <v>331</v>
      </c>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 ref="B1:E1"/>
    <mergeCell ref="K1:M1"/>
    <mergeCell ref="B2:E2"/>
    <mergeCell ref="K2:M2"/>
    <mergeCell ref="C3:E3"/>
    <mergeCell ref="F3:I3"/>
    <mergeCell ref="J3:M3"/>
  </mergeCells>
  <conditionalFormatting sqref="B5:B104">
    <cfRule type="expression" dxfId="5" priority="1">
      <formula>$E5="OK"</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4341" r:id="rId4" name="CommandButton5">
          <controlPr defaultSize="0" autoLine="0" r:id="rId5">
            <anchor moveWithCells="1">
              <from>
                <xdr:col>3</xdr:col>
                <xdr:colOff>457200</xdr:colOff>
                <xdr:row>0</xdr:row>
                <xdr:rowOff>144780</xdr:rowOff>
              </from>
              <to>
                <xdr:col>5</xdr:col>
                <xdr:colOff>152400</xdr:colOff>
                <xdr:row>1</xdr:row>
                <xdr:rowOff>198120</xdr:rowOff>
              </to>
            </anchor>
          </controlPr>
        </control>
      </mc:Choice>
      <mc:Fallback>
        <control shapeId="14341" r:id="rId4" name="CommandButton5"/>
      </mc:Fallback>
    </mc:AlternateContent>
    <mc:AlternateContent xmlns:mc="http://schemas.openxmlformats.org/markup-compatibility/2006">
      <mc:Choice Requires="x14">
        <control shapeId="14342" r:id="rId6" name="CommandButton6">
          <controlPr defaultSize="0" autoLine="0" r:id="rId7">
            <anchor moveWithCells="1">
              <from>
                <xdr:col>5</xdr:col>
                <xdr:colOff>266700</xdr:colOff>
                <xdr:row>0</xdr:row>
                <xdr:rowOff>144780</xdr:rowOff>
              </from>
              <to>
                <xdr:col>6</xdr:col>
                <xdr:colOff>449580</xdr:colOff>
                <xdr:row>1</xdr:row>
                <xdr:rowOff>205740</xdr:rowOff>
              </to>
            </anchor>
          </controlPr>
        </control>
      </mc:Choice>
      <mc:Fallback>
        <control shapeId="14342" r:id="rId6" name="CommandButton6"/>
      </mc:Fallback>
    </mc:AlternateContent>
    <mc:AlternateContent xmlns:mc="http://schemas.openxmlformats.org/markup-compatibility/2006">
      <mc:Choice Requires="x14">
        <control shapeId="14343" r:id="rId8" name="CommandButton7">
          <controlPr defaultSize="0" autoLine="0" r:id="rId9">
            <anchor moveWithCells="1">
              <from>
                <xdr:col>6</xdr:col>
                <xdr:colOff>556260</xdr:colOff>
                <xdr:row>0</xdr:row>
                <xdr:rowOff>152400</xdr:rowOff>
              </from>
              <to>
                <xdr:col>8</xdr:col>
                <xdr:colOff>60960</xdr:colOff>
                <xdr:row>1</xdr:row>
                <xdr:rowOff>213360</xdr:rowOff>
              </to>
            </anchor>
          </controlPr>
        </control>
      </mc:Choice>
      <mc:Fallback>
        <control shapeId="14343" r:id="rId8" name="CommandButton7"/>
      </mc:Fallback>
    </mc:AlternateContent>
    <mc:AlternateContent xmlns:mc="http://schemas.openxmlformats.org/markup-compatibility/2006">
      <mc:Choice Requires="x14">
        <control shapeId="14344" r:id="rId10" name="CommandButton8">
          <controlPr defaultSize="0" autoLine="0" r:id="rId11">
            <anchor moveWithCells="1">
              <from>
                <xdr:col>16</xdr:col>
                <xdr:colOff>0</xdr:colOff>
                <xdr:row>0</xdr:row>
                <xdr:rowOff>0</xdr:rowOff>
              </from>
              <to>
                <xdr:col>17</xdr:col>
                <xdr:colOff>327660</xdr:colOff>
                <xdr:row>1</xdr:row>
                <xdr:rowOff>60960</xdr:rowOff>
              </to>
            </anchor>
          </controlPr>
        </control>
      </mc:Choice>
      <mc:Fallback>
        <control shapeId="14344" r:id="rId10" name="CommandButton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Base!$A$1:$A$2</xm:f>
          </x14:formula1>
          <xm:sqref>C5:E104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4"/>
  <dimension ref="A1:P104"/>
  <sheetViews>
    <sheetView showGridLines="0" showRowColHeaders="0" topLeftCell="B1" zoomScale="90" zoomScaleNormal="90" workbookViewId="0">
      <selection activeCell="B5" sqref="B5:B13"/>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v>4.8877314814814811E-2</v>
      </c>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83</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c r="C5" s="3"/>
      <c r="D5" s="4"/>
      <c r="E5" s="5"/>
      <c r="F5" s="3"/>
      <c r="G5" s="4"/>
      <c r="H5" s="24" t="str">
        <f t="shared" ref="H5:H14" si="0">IF(AND(G5&lt;&gt;"",F5&lt;&gt;""),G5/F5,"")</f>
        <v/>
      </c>
      <c r="I5" s="5"/>
      <c r="J5" s="118"/>
      <c r="K5" s="120">
        <f>COUNTA(B5:B104)</f>
        <v>0</v>
      </c>
      <c r="L5" s="122">
        <f>COUNTIF(E5:E104,"OK")</f>
        <v>0</v>
      </c>
      <c r="M5" s="124">
        <f>IFERROR(K5-L5,"")</f>
        <v>0</v>
      </c>
      <c r="N5" s="1">
        <f>K5</f>
        <v>0</v>
      </c>
    </row>
    <row r="6" spans="1:16" x14ac:dyDescent="0.3">
      <c r="A6" s="1">
        <f>A5+1</f>
        <v>2</v>
      </c>
      <c r="B6" s="2"/>
      <c r="C6" s="3"/>
      <c r="D6" s="4"/>
      <c r="E6" s="5"/>
      <c r="F6" s="3"/>
      <c r="G6" s="4"/>
      <c r="H6" s="24" t="str">
        <f t="shared" si="0"/>
        <v/>
      </c>
      <c r="I6" s="5"/>
      <c r="J6" s="118"/>
      <c r="K6" s="121"/>
      <c r="L6" s="123"/>
      <c r="M6" s="125"/>
      <c r="N6" s="1">
        <f>L5</f>
        <v>0</v>
      </c>
    </row>
    <row r="7" spans="1:16" ht="15" thickBot="1" x14ac:dyDescent="0.35">
      <c r="A7" s="1">
        <f t="shared" ref="A7:A70" si="1">A6+1</f>
        <v>3</v>
      </c>
      <c r="B7" s="2"/>
      <c r="C7" s="3"/>
      <c r="D7" s="4"/>
      <c r="E7" s="5"/>
      <c r="F7" s="3"/>
      <c r="G7" s="4"/>
      <c r="H7" s="24" t="str">
        <f t="shared" si="0"/>
        <v/>
      </c>
      <c r="I7" s="5"/>
      <c r="J7" s="118"/>
      <c r="K7" s="18" t="s">
        <v>12</v>
      </c>
      <c r="L7" s="19" t="s">
        <v>14</v>
      </c>
      <c r="M7" s="20" t="s">
        <v>5</v>
      </c>
    </row>
    <row r="8" spans="1:16" ht="16.5" customHeight="1" thickTop="1" x14ac:dyDescent="0.3">
      <c r="A8" s="1">
        <f t="shared" si="1"/>
        <v>4</v>
      </c>
      <c r="B8" s="2"/>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2"/>
      <c r="C9" s="3"/>
      <c r="D9" s="4"/>
      <c r="E9" s="5"/>
      <c r="F9" s="3"/>
      <c r="G9" s="4"/>
      <c r="H9" s="24" t="str">
        <f t="shared" si="0"/>
        <v/>
      </c>
      <c r="I9" s="5"/>
      <c r="J9" s="118"/>
      <c r="K9" s="121"/>
      <c r="L9" s="123"/>
      <c r="M9" s="127"/>
      <c r="N9" s="1">
        <f>L8</f>
        <v>0</v>
      </c>
    </row>
    <row r="10" spans="1:16" ht="15" thickBot="1" x14ac:dyDescent="0.35">
      <c r="A10" s="1">
        <f t="shared" si="1"/>
        <v>6</v>
      </c>
      <c r="B10" s="2"/>
      <c r="C10" s="3"/>
      <c r="D10" s="4"/>
      <c r="E10" s="5"/>
      <c r="F10" s="3"/>
      <c r="G10" s="4"/>
      <c r="H10" s="24" t="str">
        <f t="shared" si="0"/>
        <v/>
      </c>
      <c r="I10" s="5"/>
      <c r="J10" s="118"/>
      <c r="K10" s="128" t="s">
        <v>17</v>
      </c>
      <c r="L10" s="128"/>
      <c r="M10" s="129"/>
    </row>
    <row r="11" spans="1:16" ht="15" thickTop="1" x14ac:dyDescent="0.3">
      <c r="A11" s="1">
        <f t="shared" si="1"/>
        <v>7</v>
      </c>
      <c r="B11" s="2"/>
      <c r="C11" s="3"/>
      <c r="D11" s="4"/>
      <c r="E11" s="5"/>
      <c r="F11" s="3"/>
      <c r="G11" s="4"/>
      <c r="H11" s="24" t="str">
        <f t="shared" si="0"/>
        <v/>
      </c>
      <c r="I11" s="5"/>
      <c r="J11" s="118"/>
      <c r="K11" s="21" t="s">
        <v>22</v>
      </c>
      <c r="L11" s="130" t="s">
        <v>23</v>
      </c>
      <c r="M11" s="131"/>
    </row>
    <row r="12" spans="1:16" x14ac:dyDescent="0.3">
      <c r="A12" s="1">
        <f t="shared" si="1"/>
        <v>8</v>
      </c>
      <c r="B12" s="2"/>
      <c r="C12" s="3"/>
      <c r="D12" s="4"/>
      <c r="E12" s="5"/>
      <c r="F12" s="3"/>
      <c r="G12" s="4"/>
      <c r="H12" s="24" t="str">
        <f t="shared" si="0"/>
        <v/>
      </c>
      <c r="I12" s="5"/>
      <c r="J12" s="118"/>
      <c r="K12" s="22" t="s">
        <v>18</v>
      </c>
      <c r="L12" s="132"/>
      <c r="M12" s="133"/>
      <c r="N12" s="34" t="str">
        <f>IF(L12="","",L12)</f>
        <v/>
      </c>
    </row>
    <row r="13" spans="1:16" x14ac:dyDescent="0.3">
      <c r="A13" s="1">
        <f t="shared" si="1"/>
        <v>9</v>
      </c>
      <c r="B13" s="2"/>
      <c r="C13" s="3"/>
      <c r="D13" s="4"/>
      <c r="E13" s="5"/>
      <c r="F13" s="3"/>
      <c r="G13" s="4"/>
      <c r="H13" s="24" t="str">
        <f t="shared" si="0"/>
        <v/>
      </c>
      <c r="I13" s="5"/>
      <c r="J13" s="118"/>
      <c r="K13" s="23" t="s">
        <v>19</v>
      </c>
      <c r="L13" s="132"/>
      <c r="M13" s="133"/>
      <c r="N13" s="34" t="str">
        <f>IF(L13="","",L13)</f>
        <v/>
      </c>
    </row>
    <row r="14" spans="1:16" x14ac:dyDescent="0.3">
      <c r="A14" s="1">
        <f t="shared" si="1"/>
        <v>10</v>
      </c>
      <c r="B14" s="2"/>
      <c r="C14" s="3"/>
      <c r="D14" s="4"/>
      <c r="E14" s="5"/>
      <c r="F14" s="3"/>
      <c r="G14" s="4"/>
      <c r="H14" s="24" t="str">
        <f t="shared" si="0"/>
        <v/>
      </c>
      <c r="I14" s="5"/>
      <c r="J14" s="118"/>
      <c r="K14" s="23" t="s">
        <v>20</v>
      </c>
      <c r="L14" s="132"/>
      <c r="M14" s="133"/>
      <c r="N14" s="34" t="str">
        <f>IF(L14="","",L14)</f>
        <v/>
      </c>
    </row>
    <row r="15" spans="1:16" ht="18.75" customHeight="1" thickBot="1" x14ac:dyDescent="0.35">
      <c r="A15" s="1">
        <f t="shared" si="1"/>
        <v>11</v>
      </c>
      <c r="B15" s="2"/>
      <c r="C15" s="3"/>
      <c r="D15" s="4"/>
      <c r="E15" s="5"/>
      <c r="F15" s="3"/>
      <c r="G15" s="4"/>
      <c r="H15" s="25"/>
      <c r="I15" s="5"/>
      <c r="J15" s="118"/>
      <c r="K15" s="128" t="s">
        <v>24</v>
      </c>
      <c r="L15" s="128"/>
      <c r="M15" s="129"/>
    </row>
    <row r="16" spans="1:16" ht="15" thickTop="1" x14ac:dyDescent="0.3">
      <c r="A16" s="1">
        <f t="shared" si="1"/>
        <v>12</v>
      </c>
      <c r="B16" s="2"/>
      <c r="C16" s="3"/>
      <c r="D16" s="4"/>
      <c r="E16" s="5"/>
      <c r="F16" s="3"/>
      <c r="G16" s="4"/>
      <c r="H16" s="25"/>
      <c r="I16" s="5"/>
      <c r="J16" s="118"/>
      <c r="K16" s="134"/>
      <c r="L16" s="135"/>
      <c r="M16" s="136"/>
    </row>
    <row r="17" spans="1:13" x14ac:dyDescent="0.3">
      <c r="A17" s="1">
        <f t="shared" si="1"/>
        <v>13</v>
      </c>
      <c r="B17" s="2"/>
      <c r="C17" s="3"/>
      <c r="D17" s="4"/>
      <c r="E17" s="5"/>
      <c r="F17" s="3"/>
      <c r="G17" s="4"/>
      <c r="H17" s="25"/>
      <c r="I17" s="5"/>
      <c r="J17" s="118"/>
      <c r="K17" s="134"/>
      <c r="L17" s="135"/>
      <c r="M17" s="136"/>
    </row>
    <row r="18" spans="1:13" ht="18.75" customHeight="1" thickBot="1" x14ac:dyDescent="0.35">
      <c r="A18" s="1">
        <f t="shared" si="1"/>
        <v>14</v>
      </c>
      <c r="B18" s="2"/>
      <c r="C18" s="3"/>
      <c r="D18" s="4"/>
      <c r="E18" s="5"/>
      <c r="F18" s="3"/>
      <c r="G18" s="4"/>
      <c r="H18" s="25"/>
      <c r="I18" s="5"/>
      <c r="J18" s="119"/>
      <c r="K18" s="114"/>
      <c r="L18" s="115"/>
      <c r="M18" s="116"/>
    </row>
    <row r="19" spans="1:13" ht="15" thickTop="1" x14ac:dyDescent="0.3">
      <c r="A19" s="1">
        <f t="shared" si="1"/>
        <v>15</v>
      </c>
      <c r="B19" s="2"/>
      <c r="C19" s="3"/>
      <c r="D19" s="4"/>
      <c r="E19" s="5"/>
      <c r="F19" s="3"/>
      <c r="G19" s="4"/>
      <c r="H19" s="25"/>
      <c r="I19" s="5"/>
      <c r="K19" s="14"/>
      <c r="L19" s="14"/>
      <c r="M19" s="14"/>
    </row>
    <row r="20" spans="1:13" x14ac:dyDescent="0.3">
      <c r="A20" s="1">
        <f t="shared" si="1"/>
        <v>16</v>
      </c>
      <c r="B20" s="2"/>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21"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B1:E1"/>
    <mergeCell ref="K1:M1"/>
    <mergeCell ref="B2:E2"/>
    <mergeCell ref="K2:M2"/>
    <mergeCell ref="C3:E3"/>
    <mergeCell ref="F3:I3"/>
    <mergeCell ref="J3:M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s>
  <conditionalFormatting sqref="B5:B104">
    <cfRule type="expression" dxfId="4"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7412" r:id="rId3" name="CommandButton8">
          <controlPr defaultSize="0" autoLine="0" r:id="rId4">
            <anchor moveWithCells="1">
              <from>
                <xdr:col>16</xdr:col>
                <xdr:colOff>0</xdr:colOff>
                <xdr:row>0</xdr:row>
                <xdr:rowOff>0</xdr:rowOff>
              </from>
              <to>
                <xdr:col>17</xdr:col>
                <xdr:colOff>327660</xdr:colOff>
                <xdr:row>1</xdr:row>
                <xdr:rowOff>60960</xdr:rowOff>
              </to>
            </anchor>
          </controlPr>
        </control>
      </mc:Choice>
      <mc:Fallback>
        <control shapeId="17412" r:id="rId3" name="CommandButton8"/>
      </mc:Fallback>
    </mc:AlternateContent>
    <mc:AlternateContent xmlns:mc="http://schemas.openxmlformats.org/markup-compatibility/2006">
      <mc:Choice Requires="x14">
        <control shapeId="17413" r:id="rId5" name="CommandButton1">
          <controlPr defaultSize="0" autoLine="0" r:id="rId6">
            <anchor moveWithCells="1">
              <from>
                <xdr:col>4</xdr:col>
                <xdr:colOff>464820</xdr:colOff>
                <xdr:row>0</xdr:row>
                <xdr:rowOff>106680</xdr:rowOff>
              </from>
              <to>
                <xdr:col>5</xdr:col>
                <xdr:colOff>784860</xdr:colOff>
                <xdr:row>1</xdr:row>
                <xdr:rowOff>152400</xdr:rowOff>
              </to>
            </anchor>
          </controlPr>
        </control>
      </mc:Choice>
      <mc:Fallback>
        <control shapeId="17413" r:id="rId5" name="CommandButton1"/>
      </mc:Fallback>
    </mc:AlternateContent>
    <mc:AlternateContent xmlns:mc="http://schemas.openxmlformats.org/markup-compatibility/2006">
      <mc:Choice Requires="x14">
        <control shapeId="17414" r:id="rId7" name="CommandButton2">
          <controlPr defaultSize="0" autoLine="0" r:id="rId8">
            <anchor moveWithCells="1">
              <from>
                <xdr:col>6</xdr:col>
                <xdr:colOff>83820</xdr:colOff>
                <xdr:row>0</xdr:row>
                <xdr:rowOff>106680</xdr:rowOff>
              </from>
              <to>
                <xdr:col>7</xdr:col>
                <xdr:colOff>365760</xdr:colOff>
                <xdr:row>1</xdr:row>
                <xdr:rowOff>160020</xdr:rowOff>
              </to>
            </anchor>
          </controlPr>
        </control>
      </mc:Choice>
      <mc:Fallback>
        <control shapeId="17414" r:id="rId7" name="CommandButton2"/>
      </mc:Fallback>
    </mc:AlternateContent>
    <mc:AlternateContent xmlns:mc="http://schemas.openxmlformats.org/markup-compatibility/2006">
      <mc:Choice Requires="x14">
        <control shapeId="17415" r:id="rId9" name="CommandButton3">
          <controlPr defaultSize="0" autoLine="0" r:id="rId10">
            <anchor moveWithCells="1">
              <from>
                <xdr:col>7</xdr:col>
                <xdr:colOff>480060</xdr:colOff>
                <xdr:row>0</xdr:row>
                <xdr:rowOff>114300</xdr:rowOff>
              </from>
              <to>
                <xdr:col>9</xdr:col>
                <xdr:colOff>60960</xdr:colOff>
                <xdr:row>1</xdr:row>
                <xdr:rowOff>167640</xdr:rowOff>
              </to>
            </anchor>
          </controlPr>
        </control>
      </mc:Choice>
      <mc:Fallback>
        <control shapeId="17415" r:id="rId9" name="CommandButton3"/>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Base!$A$1:$A$2</xm:f>
          </x14:formula1>
          <xm:sqref>C5:E104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15"/>
  <dimension ref="A1:P104"/>
  <sheetViews>
    <sheetView showGridLines="0" showRowColHeaders="0" topLeftCell="B1" zoomScale="90" zoomScaleNormal="90" workbookViewId="0">
      <selection activeCell="C36" sqref="C36"/>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v>3.2534722222222222E-2</v>
      </c>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95</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2" t="s">
        <v>139</v>
      </c>
      <c r="C5" s="3"/>
      <c r="D5" s="4"/>
      <c r="E5" s="5"/>
      <c r="F5" s="3"/>
      <c r="G5" s="4"/>
      <c r="H5" s="24" t="str">
        <f t="shared" ref="H5:H14" si="0">IF(AND(G5&lt;&gt;"",F5&lt;&gt;""),G5/F5,"")</f>
        <v/>
      </c>
      <c r="I5" s="5"/>
      <c r="J5" s="118"/>
      <c r="K5" s="120">
        <f>COUNTA(B5:B104)</f>
        <v>31</v>
      </c>
      <c r="L5" s="122">
        <f>COUNTIF(E5:E104,"OK")</f>
        <v>9</v>
      </c>
      <c r="M5" s="124">
        <f>IFERROR(K5-L5,"")</f>
        <v>22</v>
      </c>
      <c r="N5" s="1">
        <f>K5</f>
        <v>31</v>
      </c>
    </row>
    <row r="6" spans="1:16" x14ac:dyDescent="0.3">
      <c r="A6" s="1">
        <f>A5+1</f>
        <v>2</v>
      </c>
      <c r="B6" s="2" t="s">
        <v>140</v>
      </c>
      <c r="C6" s="3"/>
      <c r="D6" s="4"/>
      <c r="E6" s="5"/>
      <c r="F6" s="3"/>
      <c r="G6" s="4"/>
      <c r="H6" s="24" t="str">
        <f t="shared" si="0"/>
        <v/>
      </c>
      <c r="I6" s="5"/>
      <c r="J6" s="118"/>
      <c r="K6" s="121"/>
      <c r="L6" s="123"/>
      <c r="M6" s="125"/>
      <c r="N6" s="1">
        <f>L5</f>
        <v>9</v>
      </c>
    </row>
    <row r="7" spans="1:16" ht="15" thickBot="1" x14ac:dyDescent="0.35">
      <c r="A7" s="1">
        <f t="shared" ref="A7:A70" si="1">A6+1</f>
        <v>3</v>
      </c>
      <c r="B7" s="2" t="s">
        <v>141</v>
      </c>
      <c r="C7" s="3"/>
      <c r="D7" s="4"/>
      <c r="E7" s="5"/>
      <c r="F7" s="3"/>
      <c r="G7" s="4"/>
      <c r="H7" s="24" t="str">
        <f t="shared" si="0"/>
        <v/>
      </c>
      <c r="I7" s="5"/>
      <c r="J7" s="118"/>
      <c r="K7" s="18" t="s">
        <v>12</v>
      </c>
      <c r="L7" s="19" t="s">
        <v>14</v>
      </c>
      <c r="M7" s="20" t="s">
        <v>5</v>
      </c>
    </row>
    <row r="8" spans="1:16" ht="16.5" customHeight="1" thickTop="1" x14ac:dyDescent="0.3">
      <c r="A8" s="1">
        <f t="shared" si="1"/>
        <v>4</v>
      </c>
      <c r="B8" s="2" t="s">
        <v>142</v>
      </c>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2" t="s">
        <v>143</v>
      </c>
      <c r="C9" s="3" t="s">
        <v>10</v>
      </c>
      <c r="D9" s="4" t="s">
        <v>10</v>
      </c>
      <c r="E9" s="5" t="s">
        <v>10</v>
      </c>
      <c r="F9" s="3"/>
      <c r="G9" s="4"/>
      <c r="H9" s="24" t="str">
        <f t="shared" si="0"/>
        <v/>
      </c>
      <c r="I9" s="5"/>
      <c r="J9" s="118"/>
      <c r="K9" s="121"/>
      <c r="L9" s="123"/>
      <c r="M9" s="127"/>
      <c r="N9" s="1">
        <f>L8</f>
        <v>0</v>
      </c>
    </row>
    <row r="10" spans="1:16" ht="15" thickBot="1" x14ac:dyDescent="0.35">
      <c r="A10" s="1">
        <f t="shared" si="1"/>
        <v>6</v>
      </c>
      <c r="B10" s="2" t="s">
        <v>144</v>
      </c>
      <c r="C10" s="3" t="s">
        <v>10</v>
      </c>
      <c r="D10" s="4" t="s">
        <v>10</v>
      </c>
      <c r="E10" s="5" t="s">
        <v>10</v>
      </c>
      <c r="F10" s="3"/>
      <c r="G10" s="4"/>
      <c r="H10" s="24" t="str">
        <f t="shared" si="0"/>
        <v/>
      </c>
      <c r="I10" s="5"/>
      <c r="J10" s="118"/>
      <c r="K10" s="128" t="s">
        <v>17</v>
      </c>
      <c r="L10" s="128"/>
      <c r="M10" s="129"/>
    </row>
    <row r="11" spans="1:16" ht="15" thickTop="1" x14ac:dyDescent="0.3">
      <c r="A11" s="1">
        <f t="shared" si="1"/>
        <v>7</v>
      </c>
      <c r="B11" s="2" t="s">
        <v>145</v>
      </c>
      <c r="C11" s="3" t="s">
        <v>10</v>
      </c>
      <c r="D11" s="4" t="s">
        <v>10</v>
      </c>
      <c r="E11" s="5" t="s">
        <v>10</v>
      </c>
      <c r="F11" s="3"/>
      <c r="G11" s="4"/>
      <c r="H11" s="24" t="str">
        <f t="shared" si="0"/>
        <v/>
      </c>
      <c r="I11" s="5"/>
      <c r="J11" s="118"/>
      <c r="K11" s="21" t="s">
        <v>22</v>
      </c>
      <c r="L11" s="130" t="s">
        <v>23</v>
      </c>
      <c r="M11" s="131"/>
    </row>
    <row r="12" spans="1:16" x14ac:dyDescent="0.3">
      <c r="A12" s="1">
        <f t="shared" si="1"/>
        <v>8</v>
      </c>
      <c r="B12" s="2" t="s">
        <v>146</v>
      </c>
      <c r="C12" s="3" t="s">
        <v>10</v>
      </c>
      <c r="D12" s="4" t="s">
        <v>10</v>
      </c>
      <c r="E12" s="5" t="s">
        <v>10</v>
      </c>
      <c r="F12" s="3"/>
      <c r="G12" s="4"/>
      <c r="H12" s="24" t="str">
        <f t="shared" si="0"/>
        <v/>
      </c>
      <c r="I12" s="5"/>
      <c r="J12" s="118"/>
      <c r="K12" s="22" t="s">
        <v>18</v>
      </c>
      <c r="L12" s="132"/>
      <c r="M12" s="133"/>
      <c r="N12" s="34" t="str">
        <f>IF(L12="","",L12)</f>
        <v/>
      </c>
    </row>
    <row r="13" spans="1:16" x14ac:dyDescent="0.3">
      <c r="A13" s="1">
        <f t="shared" si="1"/>
        <v>9</v>
      </c>
      <c r="B13" s="2" t="s">
        <v>147</v>
      </c>
      <c r="C13" s="3" t="s">
        <v>10</v>
      </c>
      <c r="D13" s="4" t="s">
        <v>10</v>
      </c>
      <c r="E13" s="5" t="s">
        <v>10</v>
      </c>
      <c r="F13" s="3"/>
      <c r="G13" s="4"/>
      <c r="H13" s="24" t="str">
        <f t="shared" si="0"/>
        <v/>
      </c>
      <c r="I13" s="5"/>
      <c r="J13" s="118"/>
      <c r="K13" s="23" t="s">
        <v>19</v>
      </c>
      <c r="L13" s="132"/>
      <c r="M13" s="133"/>
      <c r="N13" s="34" t="str">
        <f>IF(L13="","",L13)</f>
        <v/>
      </c>
    </row>
    <row r="14" spans="1:16" x14ac:dyDescent="0.3">
      <c r="A14" s="1">
        <f t="shared" si="1"/>
        <v>10</v>
      </c>
      <c r="B14" s="2" t="s">
        <v>148</v>
      </c>
      <c r="C14" s="3"/>
      <c r="D14" s="4"/>
      <c r="E14" s="5"/>
      <c r="F14" s="3"/>
      <c r="G14" s="4"/>
      <c r="H14" s="24" t="str">
        <f t="shared" si="0"/>
        <v/>
      </c>
      <c r="I14" s="5"/>
      <c r="J14" s="118"/>
      <c r="K14" s="23" t="s">
        <v>20</v>
      </c>
      <c r="L14" s="132"/>
      <c r="M14" s="133"/>
      <c r="N14" s="34" t="str">
        <f>IF(L14="","",L14)</f>
        <v/>
      </c>
    </row>
    <row r="15" spans="1:16" ht="18.75" customHeight="1" thickBot="1" x14ac:dyDescent="0.35">
      <c r="A15" s="1">
        <f t="shared" si="1"/>
        <v>11</v>
      </c>
      <c r="B15" s="2" t="s">
        <v>149</v>
      </c>
      <c r="C15" s="3"/>
      <c r="D15" s="4"/>
      <c r="E15" s="5"/>
      <c r="F15" s="3"/>
      <c r="G15" s="4"/>
      <c r="H15" s="25"/>
      <c r="I15" s="5"/>
      <c r="J15" s="118"/>
      <c r="K15" s="128" t="s">
        <v>24</v>
      </c>
      <c r="L15" s="128"/>
      <c r="M15" s="129"/>
    </row>
    <row r="16" spans="1:16" ht="15" thickTop="1" x14ac:dyDescent="0.3">
      <c r="A16" s="1">
        <f t="shared" si="1"/>
        <v>12</v>
      </c>
      <c r="B16" s="2" t="s">
        <v>150</v>
      </c>
      <c r="C16" s="3"/>
      <c r="D16" s="4"/>
      <c r="E16" s="5"/>
      <c r="F16" s="3"/>
      <c r="G16" s="4"/>
      <c r="H16" s="25"/>
      <c r="I16" s="5"/>
      <c r="J16" s="118"/>
      <c r="K16" s="134"/>
      <c r="L16" s="135"/>
      <c r="M16" s="136"/>
    </row>
    <row r="17" spans="1:13" x14ac:dyDescent="0.3">
      <c r="A17" s="1">
        <f t="shared" si="1"/>
        <v>13</v>
      </c>
      <c r="B17" s="2" t="s">
        <v>151</v>
      </c>
      <c r="C17" s="3"/>
      <c r="D17" s="4"/>
      <c r="E17" s="5"/>
      <c r="F17" s="3"/>
      <c r="G17" s="4"/>
      <c r="H17" s="25"/>
      <c r="I17" s="5"/>
      <c r="J17" s="118"/>
      <c r="K17" s="134"/>
      <c r="L17" s="135"/>
      <c r="M17" s="136"/>
    </row>
    <row r="18" spans="1:13" ht="18.75" customHeight="1" thickBot="1" x14ac:dyDescent="0.35">
      <c r="A18" s="1">
        <f t="shared" si="1"/>
        <v>14</v>
      </c>
      <c r="B18" s="2" t="s">
        <v>152</v>
      </c>
      <c r="C18" s="3"/>
      <c r="D18" s="4"/>
      <c r="E18" s="5"/>
      <c r="F18" s="3"/>
      <c r="G18" s="4"/>
      <c r="H18" s="25"/>
      <c r="I18" s="5"/>
      <c r="J18" s="119"/>
      <c r="K18" s="114"/>
      <c r="L18" s="115"/>
      <c r="M18" s="116"/>
    </row>
    <row r="19" spans="1:13" ht="15" thickTop="1" x14ac:dyDescent="0.3">
      <c r="A19" s="1">
        <f t="shared" si="1"/>
        <v>15</v>
      </c>
      <c r="B19" s="2" t="s">
        <v>153</v>
      </c>
      <c r="C19" s="3"/>
      <c r="D19" s="4"/>
      <c r="E19" s="5"/>
      <c r="F19" s="3"/>
      <c r="G19" s="4"/>
      <c r="H19" s="25"/>
      <c r="I19" s="5"/>
      <c r="K19" s="14"/>
      <c r="L19" s="14"/>
      <c r="M19" s="14"/>
    </row>
    <row r="20" spans="1:13" x14ac:dyDescent="0.3">
      <c r="A20" s="1">
        <f t="shared" si="1"/>
        <v>16</v>
      </c>
      <c r="B20" s="2" t="s">
        <v>154</v>
      </c>
      <c r="C20" s="3"/>
      <c r="D20" s="4"/>
      <c r="E20" s="5"/>
      <c r="F20" s="3"/>
      <c r="G20" s="4"/>
      <c r="H20" s="25"/>
      <c r="I20" s="5"/>
    </row>
    <row r="21" spans="1:13" x14ac:dyDescent="0.3">
      <c r="A21" s="1">
        <f t="shared" si="1"/>
        <v>17</v>
      </c>
      <c r="B21" s="2" t="s">
        <v>155</v>
      </c>
      <c r="C21" s="3" t="s">
        <v>10</v>
      </c>
      <c r="D21" s="4" t="s">
        <v>10</v>
      </c>
      <c r="E21" s="5" t="s">
        <v>10</v>
      </c>
      <c r="F21" s="3"/>
      <c r="G21" s="4"/>
      <c r="H21" s="25"/>
      <c r="I21" s="5"/>
    </row>
    <row r="22" spans="1:13" x14ac:dyDescent="0.3">
      <c r="A22" s="1">
        <f t="shared" si="1"/>
        <v>18</v>
      </c>
      <c r="B22" s="2" t="s">
        <v>156</v>
      </c>
      <c r="C22" s="3" t="s">
        <v>10</v>
      </c>
      <c r="D22" s="4" t="s">
        <v>10</v>
      </c>
      <c r="E22" s="5" t="s">
        <v>10</v>
      </c>
      <c r="F22" s="3"/>
      <c r="G22" s="4"/>
      <c r="H22" s="25"/>
      <c r="I22" s="5"/>
    </row>
    <row r="23" spans="1:13" ht="21" customHeight="1" x14ac:dyDescent="0.3">
      <c r="A23" s="1">
        <f t="shared" si="1"/>
        <v>19</v>
      </c>
      <c r="B23" s="2" t="s">
        <v>157</v>
      </c>
      <c r="C23" s="3" t="s">
        <v>10</v>
      </c>
      <c r="D23" s="4" t="s">
        <v>10</v>
      </c>
      <c r="E23" s="5" t="s">
        <v>10</v>
      </c>
      <c r="F23" s="3"/>
      <c r="G23" s="4"/>
      <c r="H23" s="25"/>
      <c r="I23" s="5"/>
    </row>
    <row r="24" spans="1:13" x14ac:dyDescent="0.3">
      <c r="A24" s="1">
        <f t="shared" si="1"/>
        <v>20</v>
      </c>
      <c r="B24" s="2" t="s">
        <v>158</v>
      </c>
      <c r="C24" s="3" t="s">
        <v>10</v>
      </c>
      <c r="D24" s="4" t="s">
        <v>10</v>
      </c>
      <c r="E24" s="5" t="s">
        <v>10</v>
      </c>
      <c r="F24" s="3"/>
      <c r="G24" s="4"/>
      <c r="H24" s="25"/>
      <c r="I24" s="5"/>
    </row>
    <row r="25" spans="1:13" x14ac:dyDescent="0.3">
      <c r="A25" s="1">
        <f t="shared" si="1"/>
        <v>21</v>
      </c>
      <c r="B25" s="2" t="s">
        <v>159</v>
      </c>
      <c r="C25" s="3"/>
      <c r="D25" s="4"/>
      <c r="E25" s="5"/>
      <c r="F25" s="3"/>
      <c r="G25" s="4"/>
      <c r="H25" s="25"/>
      <c r="I25" s="5"/>
    </row>
    <row r="26" spans="1:13" x14ac:dyDescent="0.3">
      <c r="A26" s="1">
        <f t="shared" si="1"/>
        <v>22</v>
      </c>
      <c r="B26" s="2" t="s">
        <v>160</v>
      </c>
      <c r="C26" s="3"/>
      <c r="D26" s="4"/>
      <c r="E26" s="5"/>
      <c r="F26" s="3"/>
      <c r="G26" s="4"/>
      <c r="H26" s="25"/>
      <c r="I26" s="5"/>
    </row>
    <row r="27" spans="1:13" x14ac:dyDescent="0.3">
      <c r="A27" s="1">
        <f t="shared" si="1"/>
        <v>23</v>
      </c>
      <c r="B27" s="2" t="s">
        <v>161</v>
      </c>
      <c r="C27" s="3"/>
      <c r="D27" s="4"/>
      <c r="E27" s="5"/>
      <c r="F27" s="3"/>
      <c r="G27" s="4"/>
      <c r="H27" s="25"/>
      <c r="I27" s="5"/>
    </row>
    <row r="28" spans="1:13" x14ac:dyDescent="0.3">
      <c r="A28" s="1">
        <f t="shared" si="1"/>
        <v>24</v>
      </c>
      <c r="B28" s="2" t="s">
        <v>162</v>
      </c>
      <c r="C28" s="3"/>
      <c r="D28" s="4"/>
      <c r="E28" s="5"/>
      <c r="F28" s="3"/>
      <c r="G28" s="4"/>
      <c r="H28" s="25"/>
      <c r="I28" s="5"/>
    </row>
    <row r="29" spans="1:13" x14ac:dyDescent="0.3">
      <c r="A29" s="1">
        <f t="shared" si="1"/>
        <v>25</v>
      </c>
      <c r="B29" s="2" t="s">
        <v>163</v>
      </c>
      <c r="C29" s="3"/>
      <c r="D29" s="4"/>
      <c r="E29" s="5"/>
      <c r="F29" s="3"/>
      <c r="G29" s="4"/>
      <c r="H29" s="25"/>
      <c r="I29" s="5"/>
    </row>
    <row r="30" spans="1:13" x14ac:dyDescent="0.3">
      <c r="A30" s="1">
        <f t="shared" si="1"/>
        <v>26</v>
      </c>
      <c r="B30" s="2" t="s">
        <v>164</v>
      </c>
      <c r="C30" s="3"/>
      <c r="D30" s="4"/>
      <c r="E30" s="5"/>
      <c r="F30" s="3"/>
      <c r="G30" s="4"/>
      <c r="H30" s="25"/>
      <c r="I30" s="5"/>
    </row>
    <row r="31" spans="1:13" x14ac:dyDescent="0.3">
      <c r="A31" s="1">
        <f t="shared" si="1"/>
        <v>27</v>
      </c>
      <c r="B31" s="2" t="s">
        <v>165</v>
      </c>
      <c r="C31" s="3"/>
      <c r="D31" s="4"/>
      <c r="E31" s="5"/>
      <c r="F31" s="3"/>
      <c r="G31" s="4"/>
      <c r="H31" s="25"/>
      <c r="I31" s="5"/>
    </row>
    <row r="32" spans="1:13" x14ac:dyDescent="0.3">
      <c r="A32" s="1">
        <f t="shared" si="1"/>
        <v>28</v>
      </c>
      <c r="B32" s="2" t="s">
        <v>166</v>
      </c>
      <c r="C32" s="3"/>
      <c r="D32" s="4"/>
      <c r="E32" s="5"/>
      <c r="F32" s="3"/>
      <c r="G32" s="4"/>
      <c r="H32" s="25"/>
      <c r="I32" s="5"/>
    </row>
    <row r="33" spans="1:9" x14ac:dyDescent="0.3">
      <c r="A33" s="1">
        <f t="shared" si="1"/>
        <v>29</v>
      </c>
      <c r="B33" s="2" t="s">
        <v>167</v>
      </c>
      <c r="C33" s="3"/>
      <c r="D33" s="4"/>
      <c r="E33" s="5"/>
      <c r="F33" s="3"/>
      <c r="G33" s="4"/>
      <c r="H33" s="25"/>
      <c r="I33" s="5"/>
    </row>
    <row r="34" spans="1:9" x14ac:dyDescent="0.3">
      <c r="A34" s="1">
        <f t="shared" si="1"/>
        <v>30</v>
      </c>
      <c r="B34" s="2" t="s">
        <v>168</v>
      </c>
      <c r="C34" s="3"/>
      <c r="D34" s="4"/>
      <c r="E34" s="5"/>
      <c r="F34" s="3"/>
      <c r="G34" s="4"/>
      <c r="H34" s="25"/>
      <c r="I34" s="5"/>
    </row>
    <row r="35" spans="1:9" x14ac:dyDescent="0.3">
      <c r="A35" s="1">
        <f t="shared" si="1"/>
        <v>31</v>
      </c>
      <c r="B35" s="2" t="s">
        <v>169</v>
      </c>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B1:E1"/>
    <mergeCell ref="K1:M1"/>
    <mergeCell ref="B2:E2"/>
    <mergeCell ref="K2:M2"/>
    <mergeCell ref="C3:E3"/>
    <mergeCell ref="F3:I3"/>
    <mergeCell ref="J3:M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s>
  <conditionalFormatting sqref="B5:B104">
    <cfRule type="expression" dxfId="3" priority="1">
      <formula>$E5="OK"</formula>
    </cfRule>
  </conditionalFormatting>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8437" r:id="rId3" name="CommandButton1">
          <controlPr defaultSize="0" autoLine="0" r:id="rId4">
            <anchor moveWithCells="1">
              <from>
                <xdr:col>5</xdr:col>
                <xdr:colOff>30480</xdr:colOff>
                <xdr:row>0</xdr:row>
                <xdr:rowOff>137160</xdr:rowOff>
              </from>
              <to>
                <xdr:col>6</xdr:col>
                <xdr:colOff>205740</xdr:colOff>
                <xdr:row>1</xdr:row>
                <xdr:rowOff>190500</xdr:rowOff>
              </to>
            </anchor>
          </controlPr>
        </control>
      </mc:Choice>
      <mc:Fallback>
        <control shapeId="18437" r:id="rId3" name="CommandButton1"/>
      </mc:Fallback>
    </mc:AlternateContent>
    <mc:AlternateContent xmlns:mc="http://schemas.openxmlformats.org/markup-compatibility/2006">
      <mc:Choice Requires="x14">
        <control shapeId="18438" r:id="rId5" name="CommandButton2">
          <controlPr defaultSize="0" autoLine="0" r:id="rId6">
            <anchor moveWithCells="1">
              <from>
                <xdr:col>6</xdr:col>
                <xdr:colOff>373380</xdr:colOff>
                <xdr:row>0</xdr:row>
                <xdr:rowOff>121920</xdr:rowOff>
              </from>
              <to>
                <xdr:col>7</xdr:col>
                <xdr:colOff>655320</xdr:colOff>
                <xdr:row>1</xdr:row>
                <xdr:rowOff>182880</xdr:rowOff>
              </to>
            </anchor>
          </controlPr>
        </control>
      </mc:Choice>
      <mc:Fallback>
        <control shapeId="18438" r:id="rId5" name="CommandButton2"/>
      </mc:Fallback>
    </mc:AlternateContent>
    <mc:AlternateContent xmlns:mc="http://schemas.openxmlformats.org/markup-compatibility/2006">
      <mc:Choice Requires="x14">
        <control shapeId="18439" r:id="rId7" name="CommandButton3">
          <controlPr defaultSize="0" autoLine="0" r:id="rId8">
            <anchor moveWithCells="1">
              <from>
                <xdr:col>8</xdr:col>
                <xdr:colOff>0</xdr:colOff>
                <xdr:row>0</xdr:row>
                <xdr:rowOff>121920</xdr:rowOff>
              </from>
              <to>
                <xdr:col>9</xdr:col>
                <xdr:colOff>335280</xdr:colOff>
                <xdr:row>1</xdr:row>
                <xdr:rowOff>182880</xdr:rowOff>
              </to>
            </anchor>
          </controlPr>
        </control>
      </mc:Choice>
      <mc:Fallback>
        <control shapeId="18439" r:id="rId7" name="CommandButton3"/>
      </mc:Fallback>
    </mc:AlternateContent>
    <mc:AlternateContent xmlns:mc="http://schemas.openxmlformats.org/markup-compatibility/2006">
      <mc:Choice Requires="x14">
        <control shapeId="18440" r:id="rId9" name="CommandButton4">
          <controlPr defaultSize="0" autoLine="0" r:id="rId10">
            <anchor moveWithCells="1">
              <from>
                <xdr:col>17</xdr:col>
                <xdr:colOff>335280</xdr:colOff>
                <xdr:row>0</xdr:row>
                <xdr:rowOff>0</xdr:rowOff>
              </from>
              <to>
                <xdr:col>19</xdr:col>
                <xdr:colOff>38100</xdr:colOff>
                <xdr:row>1</xdr:row>
                <xdr:rowOff>60960</xdr:rowOff>
              </to>
            </anchor>
          </controlPr>
        </control>
      </mc:Choice>
      <mc:Fallback>
        <control shapeId="18440" r:id="rId9" name="CommandButton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Base!$A$1:$A$2</xm:f>
          </x14:formula1>
          <xm:sqref>C5:E104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16"/>
  <dimension ref="A1:P104"/>
  <sheetViews>
    <sheetView showGridLines="0" showRowColHeaders="0" topLeftCell="B1" workbookViewId="0">
      <selection activeCell="E5" sqref="E5:E6"/>
    </sheetView>
  </sheetViews>
  <sheetFormatPr defaultColWidth="9.109375" defaultRowHeight="14.4" x14ac:dyDescent="0.3"/>
  <cols>
    <col min="1" max="1" width="2.77734375" style="1" hidden="1" customWidth="1"/>
    <col min="2" max="2" width="58.88671875" style="6" customWidth="1"/>
    <col min="3" max="5" width="9.109375" style="1"/>
    <col min="6" max="6" width="11.6640625" style="1" customWidth="1"/>
    <col min="7" max="7" width="10.21875" style="1" customWidth="1"/>
    <col min="8" max="8" width="11" style="1" customWidth="1"/>
    <col min="9" max="10" width="9.109375" style="1"/>
    <col min="11" max="11" width="18.21875" style="1" customWidth="1"/>
    <col min="12" max="12" width="15.88671875" style="1" customWidth="1"/>
    <col min="13" max="13" width="13.33203125" style="1" customWidth="1"/>
    <col min="14" max="14" width="10.33203125" style="1" bestFit="1" customWidth="1"/>
    <col min="15" max="15" width="9.109375" style="1"/>
    <col min="16" max="16" width="15.33203125" style="1" customWidth="1"/>
    <col min="17" max="16384" width="9.109375" style="1"/>
  </cols>
  <sheetData>
    <row r="1" spans="1:16" ht="25.8" x14ac:dyDescent="0.3">
      <c r="B1" s="106" t="s">
        <v>27</v>
      </c>
      <c r="C1" s="106"/>
      <c r="D1" s="106"/>
      <c r="E1" s="106"/>
      <c r="F1" s="29"/>
      <c r="G1" s="29"/>
      <c r="H1" s="29"/>
      <c r="I1" s="29"/>
      <c r="J1" s="29"/>
      <c r="K1" s="106" t="s">
        <v>38</v>
      </c>
      <c r="L1" s="106"/>
      <c r="M1" s="106"/>
      <c r="N1" s="1" t="s">
        <v>37</v>
      </c>
      <c r="O1" s="28">
        <v>8.1018518518518516E-5</v>
      </c>
      <c r="P1" s="31">
        <v>3.2534722222222222E-2</v>
      </c>
    </row>
    <row r="2" spans="1:16" ht="21.75" customHeight="1" thickBot="1" x14ac:dyDescent="0.35">
      <c r="B2" s="107" t="str">
        <f>Base!B2</f>
        <v>POLÍCIA PENAL DA PARAÍBA</v>
      </c>
      <c r="C2" s="107"/>
      <c r="D2" s="107"/>
      <c r="E2" s="107"/>
      <c r="F2" s="30"/>
      <c r="G2" s="30"/>
      <c r="H2" s="30"/>
      <c r="I2" s="30"/>
      <c r="J2" s="30"/>
      <c r="K2" s="108">
        <v>0</v>
      </c>
      <c r="L2" s="109"/>
      <c r="M2" s="109"/>
    </row>
    <row r="3" spans="1:16" ht="29.4" thickBot="1" x14ac:dyDescent="0.35">
      <c r="B3" s="7" t="s">
        <v>105</v>
      </c>
      <c r="C3" s="110" t="s">
        <v>6</v>
      </c>
      <c r="D3" s="111"/>
      <c r="E3" s="112"/>
      <c r="F3" s="110" t="s">
        <v>7</v>
      </c>
      <c r="G3" s="111"/>
      <c r="H3" s="111"/>
      <c r="I3" s="111"/>
      <c r="J3" s="110" t="s">
        <v>25</v>
      </c>
      <c r="K3" s="111"/>
      <c r="L3" s="111"/>
      <c r="M3" s="113"/>
    </row>
    <row r="4" spans="1:16" ht="27" customHeight="1" thickBot="1" x14ac:dyDescent="0.35">
      <c r="B4" s="11" t="s">
        <v>29</v>
      </c>
      <c r="C4" s="8" t="s">
        <v>1</v>
      </c>
      <c r="D4" s="9" t="s">
        <v>2</v>
      </c>
      <c r="E4" s="12" t="s">
        <v>3</v>
      </c>
      <c r="F4" s="8" t="s">
        <v>4</v>
      </c>
      <c r="G4" s="10" t="s">
        <v>13</v>
      </c>
      <c r="H4" s="10" t="s">
        <v>21</v>
      </c>
      <c r="I4" s="13"/>
      <c r="J4" s="117" t="s">
        <v>8</v>
      </c>
      <c r="K4" s="15" t="s">
        <v>9</v>
      </c>
      <c r="L4" s="16" t="s">
        <v>15</v>
      </c>
      <c r="M4" s="17" t="s">
        <v>16</v>
      </c>
    </row>
    <row r="5" spans="1:16" ht="15" thickTop="1" x14ac:dyDescent="0.3">
      <c r="A5" s="1">
        <v>1</v>
      </c>
      <c r="B5" s="98" t="s">
        <v>133</v>
      </c>
      <c r="C5" s="3" t="s">
        <v>10</v>
      </c>
      <c r="D5" s="4" t="s">
        <v>10</v>
      </c>
      <c r="E5" s="4" t="s">
        <v>10</v>
      </c>
      <c r="F5" s="3"/>
      <c r="G5" s="4"/>
      <c r="H5" s="24" t="str">
        <f t="shared" ref="H5:H14" si="0">IF(AND(G5&lt;&gt;"",F5&lt;&gt;""),G5/F5,"")</f>
        <v/>
      </c>
      <c r="I5" s="5"/>
      <c r="J5" s="118"/>
      <c r="K5" s="120">
        <f>COUNTA(B5:B104)</f>
        <v>7</v>
      </c>
      <c r="L5" s="122">
        <f>COUNTIF(E5:E104,"OK")</f>
        <v>2</v>
      </c>
      <c r="M5" s="124">
        <f>IFERROR(K5-L5,"")</f>
        <v>5</v>
      </c>
      <c r="N5" s="1">
        <f>K5</f>
        <v>7</v>
      </c>
    </row>
    <row r="6" spans="1:16" x14ac:dyDescent="0.3">
      <c r="A6" s="1">
        <f>A5+1</f>
        <v>2</v>
      </c>
      <c r="B6" s="98" t="s">
        <v>281</v>
      </c>
      <c r="C6" s="3" t="s">
        <v>10</v>
      </c>
      <c r="D6" s="4" t="s">
        <v>10</v>
      </c>
      <c r="E6" s="4" t="s">
        <v>10</v>
      </c>
      <c r="F6" s="3"/>
      <c r="G6" s="4"/>
      <c r="H6" s="24" t="str">
        <f t="shared" si="0"/>
        <v/>
      </c>
      <c r="I6" s="5"/>
      <c r="J6" s="118"/>
      <c r="K6" s="121"/>
      <c r="L6" s="123"/>
      <c r="M6" s="125"/>
      <c r="N6" s="1">
        <f>L5</f>
        <v>2</v>
      </c>
    </row>
    <row r="7" spans="1:16" ht="15" thickBot="1" x14ac:dyDescent="0.35">
      <c r="A7" s="1">
        <f t="shared" ref="A7:A70" si="1">A6+1</f>
        <v>3</v>
      </c>
      <c r="B7" s="98" t="s">
        <v>134</v>
      </c>
      <c r="C7" s="3"/>
      <c r="D7" s="4"/>
      <c r="E7" s="5"/>
      <c r="F7" s="3"/>
      <c r="G7" s="4"/>
      <c r="H7" s="24" t="str">
        <f t="shared" si="0"/>
        <v/>
      </c>
      <c r="I7" s="5"/>
      <c r="J7" s="118"/>
      <c r="K7" s="18" t="s">
        <v>12</v>
      </c>
      <c r="L7" s="19" t="s">
        <v>14</v>
      </c>
      <c r="M7" s="20" t="s">
        <v>5</v>
      </c>
    </row>
    <row r="8" spans="1:16" ht="15" thickTop="1" x14ac:dyDescent="0.3">
      <c r="A8" s="1">
        <f t="shared" si="1"/>
        <v>4</v>
      </c>
      <c r="B8" s="98" t="s">
        <v>135</v>
      </c>
      <c r="C8" s="3"/>
      <c r="D8" s="4"/>
      <c r="E8" s="5"/>
      <c r="F8" s="3"/>
      <c r="G8" s="4"/>
      <c r="H8" s="24" t="str">
        <f t="shared" si="0"/>
        <v/>
      </c>
      <c r="I8" s="5"/>
      <c r="J8" s="118"/>
      <c r="K8" s="120">
        <f>IFERROR(SUM(F5:F104),"")</f>
        <v>0</v>
      </c>
      <c r="L8" s="122">
        <f>IFERROR(SUM(G5:G104),"")</f>
        <v>0</v>
      </c>
      <c r="M8" s="126" t="str">
        <f>IFERROR(L8/K8,"")</f>
        <v/>
      </c>
      <c r="N8" s="1">
        <f>K8</f>
        <v>0</v>
      </c>
    </row>
    <row r="9" spans="1:16" x14ac:dyDescent="0.3">
      <c r="A9" s="1">
        <f t="shared" si="1"/>
        <v>5</v>
      </c>
      <c r="B9" s="98" t="s">
        <v>136</v>
      </c>
      <c r="C9" s="3"/>
      <c r="D9" s="4"/>
      <c r="E9" s="5"/>
      <c r="F9" s="3"/>
      <c r="G9" s="4"/>
      <c r="H9" s="24" t="str">
        <f t="shared" si="0"/>
        <v/>
      </c>
      <c r="I9" s="5"/>
      <c r="J9" s="118"/>
      <c r="K9" s="121"/>
      <c r="L9" s="123"/>
      <c r="M9" s="127"/>
      <c r="N9" s="1">
        <f>L8</f>
        <v>0</v>
      </c>
    </row>
    <row r="10" spans="1:16" ht="40.200000000000003" thickBot="1" x14ac:dyDescent="0.35">
      <c r="A10" s="1">
        <f t="shared" si="1"/>
        <v>6</v>
      </c>
      <c r="B10" s="2" t="s">
        <v>137</v>
      </c>
      <c r="C10" s="3"/>
      <c r="D10" s="4"/>
      <c r="E10" s="5"/>
      <c r="F10" s="3"/>
      <c r="G10" s="4"/>
      <c r="H10" s="24" t="str">
        <f t="shared" si="0"/>
        <v/>
      </c>
      <c r="I10" s="5"/>
      <c r="J10" s="118"/>
      <c r="K10" s="128" t="s">
        <v>17</v>
      </c>
      <c r="L10" s="128"/>
      <c r="M10" s="129"/>
    </row>
    <row r="11" spans="1:16" ht="53.4" thickTop="1" x14ac:dyDescent="0.3">
      <c r="A11" s="1">
        <f t="shared" si="1"/>
        <v>7</v>
      </c>
      <c r="B11" s="2" t="s">
        <v>138</v>
      </c>
      <c r="C11" s="3"/>
      <c r="D11" s="4"/>
      <c r="E11" s="5"/>
      <c r="F11" s="3"/>
      <c r="G11" s="4"/>
      <c r="H11" s="24" t="str">
        <f t="shared" si="0"/>
        <v/>
      </c>
      <c r="I11" s="5"/>
      <c r="J11" s="118"/>
      <c r="K11" s="21" t="s">
        <v>22</v>
      </c>
      <c r="L11" s="130" t="s">
        <v>23</v>
      </c>
      <c r="M11" s="131"/>
    </row>
    <row r="12" spans="1:16" x14ac:dyDescent="0.3">
      <c r="A12" s="1">
        <f t="shared" si="1"/>
        <v>8</v>
      </c>
      <c r="B12" s="2"/>
      <c r="C12" s="3"/>
      <c r="D12" s="4"/>
      <c r="E12" s="5"/>
      <c r="F12" s="3"/>
      <c r="G12" s="4"/>
      <c r="H12" s="24" t="str">
        <f t="shared" si="0"/>
        <v/>
      </c>
      <c r="I12" s="5"/>
      <c r="J12" s="118"/>
      <c r="K12" s="22" t="s">
        <v>18</v>
      </c>
      <c r="L12" s="132"/>
      <c r="M12" s="133"/>
      <c r="N12" s="34" t="str">
        <f>IF(L12="","",L12)</f>
        <v/>
      </c>
    </row>
    <row r="13" spans="1:16" x14ac:dyDescent="0.3">
      <c r="A13" s="1">
        <f t="shared" si="1"/>
        <v>9</v>
      </c>
      <c r="B13" s="2"/>
      <c r="C13" s="3"/>
      <c r="D13" s="4"/>
      <c r="E13" s="5"/>
      <c r="F13" s="3"/>
      <c r="G13" s="4"/>
      <c r="H13" s="24" t="str">
        <f t="shared" si="0"/>
        <v/>
      </c>
      <c r="I13" s="5"/>
      <c r="J13" s="118"/>
      <c r="K13" s="23" t="s">
        <v>19</v>
      </c>
      <c r="L13" s="132"/>
      <c r="M13" s="133"/>
      <c r="N13" s="34" t="str">
        <f>IF(L13="","",L13)</f>
        <v/>
      </c>
    </row>
    <row r="14" spans="1:16" x14ac:dyDescent="0.3">
      <c r="A14" s="1">
        <f t="shared" si="1"/>
        <v>10</v>
      </c>
      <c r="B14" s="2"/>
      <c r="C14" s="3"/>
      <c r="D14" s="4"/>
      <c r="E14" s="5"/>
      <c r="F14" s="3"/>
      <c r="G14" s="4"/>
      <c r="H14" s="24" t="str">
        <f t="shared" si="0"/>
        <v/>
      </c>
      <c r="I14" s="5"/>
      <c r="J14" s="118"/>
      <c r="K14" s="23" t="s">
        <v>20</v>
      </c>
      <c r="L14" s="132"/>
      <c r="M14" s="133"/>
      <c r="N14" s="34" t="str">
        <f>IF(L14="","",L14)</f>
        <v/>
      </c>
    </row>
    <row r="15" spans="1:16" ht="18.75" customHeight="1" thickBot="1" x14ac:dyDescent="0.35">
      <c r="A15" s="1">
        <f t="shared" si="1"/>
        <v>11</v>
      </c>
      <c r="B15" s="2"/>
      <c r="C15" s="3"/>
      <c r="D15" s="4"/>
      <c r="E15" s="5"/>
      <c r="F15" s="3"/>
      <c r="G15" s="4"/>
      <c r="H15" s="25"/>
      <c r="I15" s="5"/>
      <c r="J15" s="118"/>
      <c r="K15" s="128" t="s">
        <v>24</v>
      </c>
      <c r="L15" s="128"/>
      <c r="M15" s="129"/>
    </row>
    <row r="16" spans="1:16" ht="15" thickTop="1" x14ac:dyDescent="0.3">
      <c r="A16" s="1">
        <f t="shared" si="1"/>
        <v>12</v>
      </c>
      <c r="B16" s="2"/>
      <c r="C16" s="3"/>
      <c r="D16" s="4"/>
      <c r="E16" s="5"/>
      <c r="F16" s="3"/>
      <c r="G16" s="4"/>
      <c r="H16" s="25"/>
      <c r="I16" s="5"/>
      <c r="J16" s="118"/>
      <c r="K16" s="134"/>
      <c r="L16" s="135"/>
      <c r="M16" s="136"/>
    </row>
    <row r="17" spans="1:13" x14ac:dyDescent="0.3">
      <c r="A17" s="1">
        <f t="shared" si="1"/>
        <v>13</v>
      </c>
      <c r="B17" s="2"/>
      <c r="C17" s="3"/>
      <c r="D17" s="4"/>
      <c r="E17" s="5"/>
      <c r="F17" s="3"/>
      <c r="G17" s="4"/>
      <c r="H17" s="25"/>
      <c r="I17" s="5"/>
      <c r="J17" s="118"/>
      <c r="K17" s="134"/>
      <c r="L17" s="135"/>
      <c r="M17" s="136"/>
    </row>
    <row r="18" spans="1:13" ht="18.75" customHeight="1" thickBot="1" x14ac:dyDescent="0.35">
      <c r="A18" s="1">
        <f t="shared" si="1"/>
        <v>14</v>
      </c>
      <c r="B18" s="2"/>
      <c r="C18" s="3"/>
      <c r="D18" s="4"/>
      <c r="E18" s="5"/>
      <c r="F18" s="3"/>
      <c r="G18" s="4"/>
      <c r="H18" s="25"/>
      <c r="I18" s="5"/>
      <c r="J18" s="119"/>
      <c r="K18" s="114"/>
      <c r="L18" s="115"/>
      <c r="M18" s="116"/>
    </row>
    <row r="19" spans="1:13" ht="15" thickTop="1" x14ac:dyDescent="0.3">
      <c r="A19" s="1">
        <f t="shared" si="1"/>
        <v>15</v>
      </c>
      <c r="B19" s="2"/>
      <c r="C19" s="3"/>
      <c r="D19" s="4"/>
      <c r="E19" s="5"/>
      <c r="F19" s="3"/>
      <c r="G19" s="4"/>
      <c r="H19" s="25"/>
      <c r="I19" s="5"/>
      <c r="K19" s="14"/>
      <c r="L19" s="14"/>
      <c r="M19" s="14"/>
    </row>
    <row r="20" spans="1:13" x14ac:dyDescent="0.3">
      <c r="A20" s="1">
        <f t="shared" si="1"/>
        <v>16</v>
      </c>
      <c r="B20" s="2"/>
      <c r="C20" s="3"/>
      <c r="D20" s="4"/>
      <c r="E20" s="5"/>
      <c r="F20" s="3"/>
      <c r="G20" s="4"/>
      <c r="H20" s="25"/>
      <c r="I20" s="5"/>
    </row>
    <row r="21" spans="1:13" x14ac:dyDescent="0.3">
      <c r="A21" s="1">
        <f t="shared" si="1"/>
        <v>17</v>
      </c>
      <c r="B21" s="2"/>
      <c r="C21" s="3"/>
      <c r="D21" s="4"/>
      <c r="E21" s="5"/>
      <c r="F21" s="3"/>
      <c r="G21" s="4"/>
      <c r="H21" s="25"/>
      <c r="I21" s="5"/>
    </row>
    <row r="22" spans="1:13" x14ac:dyDescent="0.3">
      <c r="A22" s="1">
        <f t="shared" si="1"/>
        <v>18</v>
      </c>
      <c r="B22" s="2"/>
      <c r="C22" s="3"/>
      <c r="D22" s="4"/>
      <c r="E22" s="5"/>
      <c r="F22" s="3"/>
      <c r="G22" s="4"/>
      <c r="H22" s="25"/>
      <c r="I22" s="5"/>
    </row>
    <row r="23" spans="1:13" ht="21" customHeight="1" x14ac:dyDescent="0.3">
      <c r="A23" s="1">
        <f t="shared" si="1"/>
        <v>19</v>
      </c>
      <c r="B23" s="2"/>
      <c r="C23" s="3"/>
      <c r="D23" s="4"/>
      <c r="E23" s="5"/>
      <c r="F23" s="3"/>
      <c r="G23" s="4"/>
      <c r="H23" s="25"/>
      <c r="I23" s="5"/>
    </row>
    <row r="24" spans="1:13" x14ac:dyDescent="0.3">
      <c r="A24" s="1">
        <f t="shared" si="1"/>
        <v>20</v>
      </c>
      <c r="B24" s="2"/>
      <c r="C24" s="3"/>
      <c r="D24" s="4"/>
      <c r="E24" s="5"/>
      <c r="F24" s="3"/>
      <c r="G24" s="4"/>
      <c r="H24" s="25"/>
      <c r="I24" s="5"/>
    </row>
    <row r="25" spans="1:13" x14ac:dyDescent="0.3">
      <c r="A25" s="1">
        <f t="shared" si="1"/>
        <v>21</v>
      </c>
      <c r="B25" s="2"/>
      <c r="C25" s="3"/>
      <c r="D25" s="4"/>
      <c r="E25" s="5"/>
      <c r="F25" s="3"/>
      <c r="G25" s="4"/>
      <c r="H25" s="25"/>
      <c r="I25" s="5"/>
    </row>
    <row r="26" spans="1:13" x14ac:dyDescent="0.3">
      <c r="A26" s="1">
        <f t="shared" si="1"/>
        <v>22</v>
      </c>
      <c r="B26" s="2"/>
      <c r="C26" s="3"/>
      <c r="D26" s="4"/>
      <c r="E26" s="5"/>
      <c r="F26" s="3"/>
      <c r="G26" s="4"/>
      <c r="H26" s="25"/>
      <c r="I26" s="5"/>
    </row>
    <row r="27" spans="1:13" x14ac:dyDescent="0.3">
      <c r="A27" s="1">
        <f t="shared" si="1"/>
        <v>23</v>
      </c>
      <c r="B27" s="2"/>
      <c r="C27" s="3"/>
      <c r="D27" s="4"/>
      <c r="E27" s="5"/>
      <c r="F27" s="3"/>
      <c r="G27" s="4"/>
      <c r="H27" s="25"/>
      <c r="I27" s="5"/>
    </row>
    <row r="28" spans="1:13" x14ac:dyDescent="0.3">
      <c r="A28" s="1">
        <f t="shared" si="1"/>
        <v>24</v>
      </c>
      <c r="B28" s="2"/>
      <c r="C28" s="3"/>
      <c r="D28" s="4"/>
      <c r="E28" s="5"/>
      <c r="F28" s="3"/>
      <c r="G28" s="4"/>
      <c r="H28" s="25"/>
      <c r="I28" s="5"/>
    </row>
    <row r="29" spans="1:13" x14ac:dyDescent="0.3">
      <c r="A29" s="1">
        <f t="shared" si="1"/>
        <v>25</v>
      </c>
      <c r="B29" s="2"/>
      <c r="C29" s="3"/>
      <c r="D29" s="4"/>
      <c r="E29" s="5"/>
      <c r="F29" s="3"/>
      <c r="G29" s="4"/>
      <c r="H29" s="25"/>
      <c r="I29" s="5"/>
    </row>
    <row r="30" spans="1:13" x14ac:dyDescent="0.3">
      <c r="A30" s="1">
        <f t="shared" si="1"/>
        <v>26</v>
      </c>
      <c r="B30" s="2"/>
      <c r="C30" s="3"/>
      <c r="D30" s="4"/>
      <c r="E30" s="5"/>
      <c r="F30" s="3"/>
      <c r="G30" s="4"/>
      <c r="H30" s="25"/>
      <c r="I30" s="5"/>
    </row>
    <row r="31" spans="1:13" x14ac:dyDescent="0.3">
      <c r="A31" s="1">
        <f t="shared" si="1"/>
        <v>27</v>
      </c>
      <c r="B31" s="2"/>
      <c r="C31" s="3"/>
      <c r="D31" s="4"/>
      <c r="E31" s="5"/>
      <c r="F31" s="3"/>
      <c r="G31" s="4"/>
      <c r="H31" s="25"/>
      <c r="I31" s="5"/>
    </row>
    <row r="32" spans="1:13" x14ac:dyDescent="0.3">
      <c r="A32" s="1">
        <f t="shared" si="1"/>
        <v>28</v>
      </c>
      <c r="B32" s="2"/>
      <c r="C32" s="3"/>
      <c r="D32" s="4"/>
      <c r="E32" s="5"/>
      <c r="F32" s="3"/>
      <c r="G32" s="4"/>
      <c r="H32" s="25"/>
      <c r="I32" s="5"/>
    </row>
    <row r="33" spans="1:9" x14ac:dyDescent="0.3">
      <c r="A33" s="1">
        <f t="shared" si="1"/>
        <v>29</v>
      </c>
      <c r="B33" s="2"/>
      <c r="C33" s="3"/>
      <c r="D33" s="4"/>
      <c r="E33" s="5"/>
      <c r="F33" s="3"/>
      <c r="G33" s="4"/>
      <c r="H33" s="25"/>
      <c r="I33" s="5"/>
    </row>
    <row r="34" spans="1:9" x14ac:dyDescent="0.3">
      <c r="A34" s="1">
        <f t="shared" si="1"/>
        <v>30</v>
      </c>
      <c r="B34" s="2"/>
      <c r="C34" s="3"/>
      <c r="D34" s="4"/>
      <c r="E34" s="5"/>
      <c r="F34" s="3"/>
      <c r="G34" s="4"/>
      <c r="H34" s="25"/>
      <c r="I34" s="5"/>
    </row>
    <row r="35" spans="1:9" x14ac:dyDescent="0.3">
      <c r="A35" s="1">
        <f t="shared" si="1"/>
        <v>31</v>
      </c>
      <c r="B35" s="2"/>
      <c r="C35" s="3"/>
      <c r="D35" s="4"/>
      <c r="E35" s="5"/>
      <c r="F35" s="3"/>
      <c r="G35" s="4"/>
      <c r="H35" s="25"/>
      <c r="I35" s="5"/>
    </row>
    <row r="36" spans="1:9" x14ac:dyDescent="0.3">
      <c r="A36" s="1">
        <f t="shared" si="1"/>
        <v>32</v>
      </c>
      <c r="B36" s="2"/>
      <c r="C36" s="3"/>
      <c r="D36" s="4"/>
      <c r="E36" s="5"/>
      <c r="F36" s="3"/>
      <c r="G36" s="4"/>
      <c r="H36" s="25"/>
      <c r="I36" s="5"/>
    </row>
    <row r="37" spans="1:9" x14ac:dyDescent="0.3">
      <c r="A37" s="1">
        <f t="shared" si="1"/>
        <v>33</v>
      </c>
      <c r="B37" s="2"/>
      <c r="C37" s="3"/>
      <c r="D37" s="4"/>
      <c r="E37" s="5"/>
      <c r="F37" s="3"/>
      <c r="G37" s="4"/>
      <c r="H37" s="25"/>
      <c r="I37" s="5"/>
    </row>
    <row r="38" spans="1:9" x14ac:dyDescent="0.3">
      <c r="A38" s="1">
        <f t="shared" si="1"/>
        <v>34</v>
      </c>
      <c r="B38" s="2"/>
      <c r="C38" s="3"/>
      <c r="D38" s="4"/>
      <c r="E38" s="5"/>
      <c r="F38" s="3"/>
      <c r="G38" s="4"/>
      <c r="H38" s="25"/>
      <c r="I38" s="5"/>
    </row>
    <row r="39" spans="1:9" x14ac:dyDescent="0.3">
      <c r="A39" s="1">
        <f t="shared" si="1"/>
        <v>35</v>
      </c>
      <c r="B39" s="2"/>
      <c r="C39" s="3"/>
      <c r="D39" s="4"/>
      <c r="E39" s="5"/>
      <c r="F39" s="3"/>
      <c r="G39" s="4"/>
      <c r="H39" s="25"/>
      <c r="I39" s="5"/>
    </row>
    <row r="40" spans="1:9" x14ac:dyDescent="0.3">
      <c r="A40" s="1">
        <f t="shared" si="1"/>
        <v>36</v>
      </c>
      <c r="B40" s="2"/>
      <c r="C40" s="3"/>
      <c r="D40" s="4"/>
      <c r="E40" s="5"/>
      <c r="F40" s="3"/>
      <c r="G40" s="4"/>
      <c r="H40" s="25"/>
      <c r="I40" s="5"/>
    </row>
    <row r="41" spans="1:9" x14ac:dyDescent="0.3">
      <c r="A41" s="1">
        <f t="shared" si="1"/>
        <v>37</v>
      </c>
      <c r="B41" s="2"/>
      <c r="C41" s="3"/>
      <c r="D41" s="4"/>
      <c r="E41" s="5"/>
      <c r="F41" s="3"/>
      <c r="G41" s="4"/>
      <c r="H41" s="25"/>
      <c r="I41" s="5"/>
    </row>
    <row r="42" spans="1:9" x14ac:dyDescent="0.3">
      <c r="A42" s="1">
        <f t="shared" si="1"/>
        <v>38</v>
      </c>
      <c r="B42" s="2"/>
      <c r="C42" s="3"/>
      <c r="D42" s="4"/>
      <c r="E42" s="5"/>
      <c r="F42" s="3"/>
      <c r="G42" s="4"/>
      <c r="H42" s="25"/>
      <c r="I42" s="5"/>
    </row>
    <row r="43" spans="1:9" x14ac:dyDescent="0.3">
      <c r="A43" s="1">
        <f t="shared" si="1"/>
        <v>39</v>
      </c>
      <c r="B43" s="2"/>
      <c r="C43" s="3"/>
      <c r="D43" s="4"/>
      <c r="E43" s="5"/>
      <c r="F43" s="3"/>
      <c r="G43" s="4"/>
      <c r="H43" s="25"/>
      <c r="I43" s="5"/>
    </row>
    <row r="44" spans="1:9" x14ac:dyDescent="0.3">
      <c r="A44" s="1">
        <f t="shared" si="1"/>
        <v>40</v>
      </c>
      <c r="B44" s="2"/>
      <c r="C44" s="3"/>
      <c r="D44" s="4"/>
      <c r="E44" s="5"/>
      <c r="F44" s="3"/>
      <c r="G44" s="4"/>
      <c r="H44" s="25"/>
      <c r="I44" s="5"/>
    </row>
    <row r="45" spans="1:9" x14ac:dyDescent="0.3">
      <c r="A45" s="1">
        <f t="shared" si="1"/>
        <v>41</v>
      </c>
      <c r="B45" s="2"/>
      <c r="C45" s="3"/>
      <c r="D45" s="4"/>
      <c r="E45" s="5"/>
      <c r="F45" s="3"/>
      <c r="G45" s="4"/>
      <c r="H45" s="25"/>
      <c r="I45" s="5"/>
    </row>
    <row r="46" spans="1:9" x14ac:dyDescent="0.3">
      <c r="A46" s="1">
        <f t="shared" si="1"/>
        <v>42</v>
      </c>
      <c r="B46" s="2"/>
      <c r="C46" s="3"/>
      <c r="D46" s="4"/>
      <c r="E46" s="5"/>
      <c r="F46" s="3"/>
      <c r="G46" s="4"/>
      <c r="H46" s="25"/>
      <c r="I46" s="5"/>
    </row>
    <row r="47" spans="1:9" x14ac:dyDescent="0.3">
      <c r="A47" s="1">
        <f t="shared" si="1"/>
        <v>43</v>
      </c>
      <c r="B47" s="2"/>
      <c r="C47" s="3"/>
      <c r="D47" s="4"/>
      <c r="E47" s="5"/>
      <c r="F47" s="3"/>
      <c r="G47" s="4"/>
      <c r="H47" s="25"/>
      <c r="I47" s="5"/>
    </row>
    <row r="48" spans="1:9" x14ac:dyDescent="0.3">
      <c r="A48" s="1">
        <f t="shared" si="1"/>
        <v>44</v>
      </c>
      <c r="B48" s="2"/>
      <c r="C48" s="3"/>
      <c r="D48" s="4"/>
      <c r="E48" s="5"/>
      <c r="F48" s="3"/>
      <c r="G48" s="4"/>
      <c r="H48" s="25"/>
      <c r="I48" s="5"/>
    </row>
    <row r="49" spans="1:9" x14ac:dyDescent="0.3">
      <c r="A49" s="1">
        <f t="shared" si="1"/>
        <v>45</v>
      </c>
      <c r="B49" s="2"/>
      <c r="C49" s="3"/>
      <c r="D49" s="4"/>
      <c r="E49" s="5"/>
      <c r="F49" s="3"/>
      <c r="G49" s="4"/>
      <c r="H49" s="25"/>
      <c r="I49" s="5"/>
    </row>
    <row r="50" spans="1:9" x14ac:dyDescent="0.3">
      <c r="A50" s="1">
        <f t="shared" si="1"/>
        <v>46</v>
      </c>
      <c r="B50" s="2"/>
      <c r="C50" s="3"/>
      <c r="D50" s="4"/>
      <c r="E50" s="5"/>
      <c r="F50" s="3"/>
      <c r="G50" s="4"/>
      <c r="H50" s="25"/>
      <c r="I50" s="5"/>
    </row>
    <row r="51" spans="1:9" x14ac:dyDescent="0.3">
      <c r="A51" s="1">
        <f t="shared" si="1"/>
        <v>47</v>
      </c>
      <c r="B51" s="2"/>
      <c r="C51" s="3"/>
      <c r="D51" s="4"/>
      <c r="E51" s="5"/>
      <c r="F51" s="3"/>
      <c r="G51" s="4"/>
      <c r="H51" s="25"/>
      <c r="I51" s="5"/>
    </row>
    <row r="52" spans="1:9" x14ac:dyDescent="0.3">
      <c r="A52" s="1">
        <f t="shared" si="1"/>
        <v>48</v>
      </c>
      <c r="B52" s="2"/>
      <c r="C52" s="3"/>
      <c r="D52" s="4"/>
      <c r="E52" s="5"/>
      <c r="F52" s="3"/>
      <c r="G52" s="4"/>
      <c r="H52" s="25"/>
      <c r="I52" s="5"/>
    </row>
    <row r="53" spans="1:9" x14ac:dyDescent="0.3">
      <c r="A53" s="1">
        <f t="shared" si="1"/>
        <v>49</v>
      </c>
      <c r="B53" s="2"/>
      <c r="C53" s="3"/>
      <c r="D53" s="4"/>
      <c r="E53" s="5"/>
      <c r="F53" s="3"/>
      <c r="G53" s="4"/>
      <c r="H53" s="25"/>
      <c r="I53" s="5"/>
    </row>
    <row r="54" spans="1:9" x14ac:dyDescent="0.3">
      <c r="A54" s="1">
        <f t="shared" si="1"/>
        <v>50</v>
      </c>
      <c r="B54" s="2"/>
      <c r="C54" s="3"/>
      <c r="D54" s="4"/>
      <c r="E54" s="5"/>
      <c r="F54" s="3"/>
      <c r="G54" s="4"/>
      <c r="H54" s="25"/>
      <c r="I54" s="5"/>
    </row>
    <row r="55" spans="1:9" x14ac:dyDescent="0.3">
      <c r="A55" s="1">
        <f t="shared" si="1"/>
        <v>51</v>
      </c>
      <c r="B55" s="2"/>
      <c r="C55" s="3"/>
      <c r="D55" s="4"/>
      <c r="E55" s="5"/>
      <c r="F55" s="3"/>
      <c r="G55" s="4"/>
      <c r="H55" s="25"/>
      <c r="I55" s="5"/>
    </row>
    <row r="56" spans="1:9" x14ac:dyDescent="0.3">
      <c r="A56" s="1">
        <f t="shared" si="1"/>
        <v>52</v>
      </c>
      <c r="B56" s="2"/>
      <c r="C56" s="3"/>
      <c r="D56" s="4"/>
      <c r="E56" s="5"/>
      <c r="F56" s="3"/>
      <c r="G56" s="4"/>
      <c r="H56" s="25"/>
      <c r="I56" s="5"/>
    </row>
    <row r="57" spans="1:9" x14ac:dyDescent="0.3">
      <c r="A57" s="1">
        <f t="shared" si="1"/>
        <v>53</v>
      </c>
      <c r="B57" s="2"/>
      <c r="C57" s="3"/>
      <c r="D57" s="4"/>
      <c r="E57" s="5"/>
      <c r="F57" s="3"/>
      <c r="G57" s="4"/>
      <c r="H57" s="25"/>
      <c r="I57" s="5"/>
    </row>
    <row r="58" spans="1:9" x14ac:dyDescent="0.3">
      <c r="A58" s="1">
        <f t="shared" si="1"/>
        <v>54</v>
      </c>
      <c r="B58" s="2"/>
      <c r="C58" s="3"/>
      <c r="D58" s="4"/>
      <c r="E58" s="5"/>
      <c r="F58" s="3"/>
      <c r="G58" s="4"/>
      <c r="H58" s="25"/>
      <c r="I58" s="5"/>
    </row>
    <row r="59" spans="1:9" x14ac:dyDescent="0.3">
      <c r="A59" s="1">
        <f t="shared" si="1"/>
        <v>55</v>
      </c>
      <c r="B59" s="2"/>
      <c r="C59" s="3"/>
      <c r="D59" s="4"/>
      <c r="E59" s="5"/>
      <c r="F59" s="3"/>
      <c r="G59" s="4"/>
      <c r="H59" s="25"/>
      <c r="I59" s="5"/>
    </row>
    <row r="60" spans="1:9" x14ac:dyDescent="0.3">
      <c r="A60" s="1">
        <f t="shared" si="1"/>
        <v>56</v>
      </c>
      <c r="B60" s="2"/>
      <c r="C60" s="3"/>
      <c r="D60" s="4"/>
      <c r="E60" s="5"/>
      <c r="F60" s="3"/>
      <c r="G60" s="4"/>
      <c r="H60" s="25"/>
      <c r="I60" s="5"/>
    </row>
    <row r="61" spans="1:9" x14ac:dyDescent="0.3">
      <c r="A61" s="1">
        <f t="shared" si="1"/>
        <v>57</v>
      </c>
      <c r="B61" s="2"/>
      <c r="C61" s="3"/>
      <c r="D61" s="4"/>
      <c r="E61" s="5"/>
      <c r="F61" s="3"/>
      <c r="G61" s="4"/>
      <c r="H61" s="25"/>
      <c r="I61" s="5"/>
    </row>
    <row r="62" spans="1:9" x14ac:dyDescent="0.3">
      <c r="A62" s="1">
        <f t="shared" si="1"/>
        <v>58</v>
      </c>
      <c r="B62" s="2"/>
      <c r="C62" s="3"/>
      <c r="D62" s="4"/>
      <c r="E62" s="5"/>
      <c r="F62" s="3"/>
      <c r="G62" s="4"/>
      <c r="H62" s="25"/>
      <c r="I62" s="5"/>
    </row>
    <row r="63" spans="1:9" x14ac:dyDescent="0.3">
      <c r="A63" s="1">
        <f t="shared" si="1"/>
        <v>59</v>
      </c>
      <c r="B63" s="2"/>
      <c r="C63" s="3"/>
      <c r="D63" s="4"/>
      <c r="E63" s="5"/>
      <c r="F63" s="3"/>
      <c r="G63" s="4"/>
      <c r="H63" s="25"/>
      <c r="I63" s="5"/>
    </row>
    <row r="64" spans="1:9" x14ac:dyDescent="0.3">
      <c r="A64" s="1">
        <f t="shared" si="1"/>
        <v>60</v>
      </c>
      <c r="B64" s="2"/>
      <c r="C64" s="3"/>
      <c r="D64" s="4"/>
      <c r="E64" s="5"/>
      <c r="F64" s="3"/>
      <c r="G64" s="4"/>
      <c r="H64" s="25"/>
      <c r="I64" s="5"/>
    </row>
    <row r="65" spans="1:9" x14ac:dyDescent="0.3">
      <c r="A65" s="1">
        <f t="shared" si="1"/>
        <v>61</v>
      </c>
      <c r="B65" s="2"/>
      <c r="C65" s="3"/>
      <c r="D65" s="4"/>
      <c r="E65" s="5"/>
      <c r="F65" s="3"/>
      <c r="G65" s="4"/>
      <c r="H65" s="25"/>
      <c r="I65" s="5"/>
    </row>
    <row r="66" spans="1:9" x14ac:dyDescent="0.3">
      <c r="A66" s="1">
        <f t="shared" si="1"/>
        <v>62</v>
      </c>
      <c r="B66" s="2"/>
      <c r="C66" s="3"/>
      <c r="D66" s="4"/>
      <c r="E66" s="5"/>
      <c r="F66" s="3"/>
      <c r="G66" s="4"/>
      <c r="H66" s="25"/>
      <c r="I66" s="5"/>
    </row>
    <row r="67" spans="1:9" x14ac:dyDescent="0.3">
      <c r="A67" s="1">
        <f t="shared" si="1"/>
        <v>63</v>
      </c>
      <c r="B67" s="2"/>
      <c r="C67" s="3"/>
      <c r="D67" s="4"/>
      <c r="E67" s="5"/>
      <c r="F67" s="3"/>
      <c r="G67" s="4"/>
      <c r="H67" s="25"/>
      <c r="I67" s="5"/>
    </row>
    <row r="68" spans="1:9" x14ac:dyDescent="0.3">
      <c r="A68" s="1">
        <f t="shared" si="1"/>
        <v>64</v>
      </c>
      <c r="B68" s="2"/>
      <c r="C68" s="3"/>
      <c r="D68" s="4"/>
      <c r="E68" s="5"/>
      <c r="F68" s="3"/>
      <c r="G68" s="4"/>
      <c r="H68" s="25"/>
      <c r="I68" s="5"/>
    </row>
    <row r="69" spans="1:9" x14ac:dyDescent="0.3">
      <c r="A69" s="1">
        <f t="shared" si="1"/>
        <v>65</v>
      </c>
      <c r="B69" s="2"/>
      <c r="C69" s="3"/>
      <c r="D69" s="4"/>
      <c r="E69" s="5"/>
      <c r="F69" s="3"/>
      <c r="G69" s="4"/>
      <c r="H69" s="25"/>
      <c r="I69" s="5"/>
    </row>
    <row r="70" spans="1:9" x14ac:dyDescent="0.3">
      <c r="A70" s="1">
        <f t="shared" si="1"/>
        <v>66</v>
      </c>
      <c r="B70" s="2"/>
      <c r="C70" s="3"/>
      <c r="D70" s="4"/>
      <c r="E70" s="5"/>
      <c r="F70" s="3"/>
      <c r="G70" s="4"/>
      <c r="H70" s="25"/>
      <c r="I70" s="5"/>
    </row>
    <row r="71" spans="1:9" x14ac:dyDescent="0.3">
      <c r="A71" s="1">
        <f t="shared" ref="A71:A104" si="2">A70+1</f>
        <v>67</v>
      </c>
      <c r="B71" s="2"/>
      <c r="C71" s="3"/>
      <c r="D71" s="4"/>
      <c r="E71" s="5"/>
      <c r="F71" s="3"/>
      <c r="G71" s="4"/>
      <c r="H71" s="25"/>
      <c r="I71" s="5"/>
    </row>
    <row r="72" spans="1:9" x14ac:dyDescent="0.3">
      <c r="A72" s="1">
        <f t="shared" si="2"/>
        <v>68</v>
      </c>
      <c r="B72" s="2"/>
      <c r="C72" s="3"/>
      <c r="D72" s="4"/>
      <c r="E72" s="5"/>
      <c r="F72" s="3"/>
      <c r="G72" s="4"/>
      <c r="H72" s="25"/>
      <c r="I72" s="5"/>
    </row>
    <row r="73" spans="1:9" x14ac:dyDescent="0.3">
      <c r="A73" s="1">
        <f t="shared" si="2"/>
        <v>69</v>
      </c>
      <c r="B73" s="2"/>
      <c r="C73" s="3"/>
      <c r="D73" s="4"/>
      <c r="E73" s="5"/>
      <c r="F73" s="3"/>
      <c r="G73" s="4"/>
      <c r="H73" s="25"/>
      <c r="I73" s="5"/>
    </row>
    <row r="74" spans="1:9" x14ac:dyDescent="0.3">
      <c r="A74" s="1">
        <f t="shared" si="2"/>
        <v>70</v>
      </c>
      <c r="B74" s="2"/>
      <c r="C74" s="3"/>
      <c r="D74" s="4"/>
      <c r="E74" s="5"/>
      <c r="F74" s="3"/>
      <c r="G74" s="4"/>
      <c r="H74" s="25"/>
      <c r="I74" s="5"/>
    </row>
    <row r="75" spans="1:9" x14ac:dyDescent="0.3">
      <c r="A75" s="1">
        <f t="shared" si="2"/>
        <v>71</v>
      </c>
      <c r="B75" s="2"/>
      <c r="C75" s="3"/>
      <c r="D75" s="4"/>
      <c r="E75" s="5"/>
      <c r="F75" s="3"/>
      <c r="G75" s="4"/>
      <c r="H75" s="25"/>
      <c r="I75" s="5"/>
    </row>
    <row r="76" spans="1:9" x14ac:dyDescent="0.3">
      <c r="A76" s="1">
        <f t="shared" si="2"/>
        <v>72</v>
      </c>
      <c r="B76" s="2"/>
      <c r="C76" s="3"/>
      <c r="D76" s="4"/>
      <c r="E76" s="5"/>
      <c r="F76" s="3"/>
      <c r="G76" s="4"/>
      <c r="H76" s="25"/>
      <c r="I76" s="5"/>
    </row>
    <row r="77" spans="1:9" x14ac:dyDescent="0.3">
      <c r="A77" s="1">
        <f t="shared" si="2"/>
        <v>73</v>
      </c>
      <c r="B77" s="2"/>
      <c r="C77" s="3"/>
      <c r="D77" s="4"/>
      <c r="E77" s="5"/>
      <c r="F77" s="3"/>
      <c r="G77" s="4"/>
      <c r="H77" s="25"/>
      <c r="I77" s="5"/>
    </row>
    <row r="78" spans="1:9" x14ac:dyDescent="0.3">
      <c r="A78" s="1">
        <f t="shared" si="2"/>
        <v>74</v>
      </c>
      <c r="B78" s="2"/>
      <c r="C78" s="3"/>
      <c r="D78" s="4"/>
      <c r="E78" s="5"/>
      <c r="F78" s="3"/>
      <c r="G78" s="4"/>
      <c r="H78" s="25"/>
      <c r="I78" s="5"/>
    </row>
    <row r="79" spans="1:9" x14ac:dyDescent="0.3">
      <c r="A79" s="1">
        <f t="shared" si="2"/>
        <v>75</v>
      </c>
      <c r="B79" s="2"/>
      <c r="C79" s="3"/>
      <c r="D79" s="4"/>
      <c r="E79" s="5"/>
      <c r="F79" s="3"/>
      <c r="G79" s="4"/>
      <c r="H79" s="25"/>
      <c r="I79" s="5"/>
    </row>
    <row r="80" spans="1:9" x14ac:dyDescent="0.3">
      <c r="A80" s="1">
        <f t="shared" si="2"/>
        <v>76</v>
      </c>
      <c r="B80" s="2"/>
      <c r="C80" s="3"/>
      <c r="D80" s="4"/>
      <c r="E80" s="5"/>
      <c r="F80" s="3"/>
      <c r="G80" s="4"/>
      <c r="H80" s="25"/>
      <c r="I80" s="5"/>
    </row>
    <row r="81" spans="1:9" x14ac:dyDescent="0.3">
      <c r="A81" s="1">
        <f t="shared" si="2"/>
        <v>77</v>
      </c>
      <c r="B81" s="2"/>
      <c r="C81" s="3"/>
      <c r="D81" s="4"/>
      <c r="E81" s="5"/>
      <c r="F81" s="3"/>
      <c r="G81" s="4"/>
      <c r="H81" s="25"/>
      <c r="I81" s="5"/>
    </row>
    <row r="82" spans="1:9" x14ac:dyDescent="0.3">
      <c r="A82" s="1">
        <f t="shared" si="2"/>
        <v>78</v>
      </c>
      <c r="B82" s="2"/>
      <c r="C82" s="3"/>
      <c r="D82" s="4"/>
      <c r="E82" s="5"/>
      <c r="F82" s="3"/>
      <c r="G82" s="4"/>
      <c r="H82" s="25"/>
      <c r="I82" s="5"/>
    </row>
    <row r="83" spans="1:9" x14ac:dyDescent="0.3">
      <c r="A83" s="1">
        <f t="shared" si="2"/>
        <v>79</v>
      </c>
      <c r="B83" s="2"/>
      <c r="C83" s="3"/>
      <c r="D83" s="4"/>
      <c r="E83" s="5"/>
      <c r="F83" s="3"/>
      <c r="G83" s="4"/>
      <c r="H83" s="25"/>
      <c r="I83" s="5"/>
    </row>
    <row r="84" spans="1:9" x14ac:dyDescent="0.3">
      <c r="A84" s="1">
        <f t="shared" si="2"/>
        <v>80</v>
      </c>
      <c r="B84" s="2"/>
      <c r="C84" s="3"/>
      <c r="D84" s="4"/>
      <c r="E84" s="5"/>
      <c r="F84" s="3"/>
      <c r="G84" s="4"/>
      <c r="H84" s="25"/>
      <c r="I84" s="5"/>
    </row>
    <row r="85" spans="1:9" x14ac:dyDescent="0.3">
      <c r="A85" s="1">
        <f t="shared" si="2"/>
        <v>81</v>
      </c>
      <c r="B85" s="2"/>
      <c r="C85" s="3"/>
      <c r="D85" s="4"/>
      <c r="E85" s="5"/>
      <c r="F85" s="3"/>
      <c r="G85" s="4"/>
      <c r="H85" s="25"/>
      <c r="I85" s="5"/>
    </row>
    <row r="86" spans="1:9" x14ac:dyDescent="0.3">
      <c r="A86" s="1">
        <f t="shared" si="2"/>
        <v>82</v>
      </c>
      <c r="B86" s="2"/>
      <c r="C86" s="3"/>
      <c r="D86" s="4"/>
      <c r="E86" s="5"/>
      <c r="F86" s="3"/>
      <c r="G86" s="4"/>
      <c r="H86" s="25"/>
      <c r="I86" s="5"/>
    </row>
    <row r="87" spans="1:9" x14ac:dyDescent="0.3">
      <c r="A87" s="1">
        <f t="shared" si="2"/>
        <v>83</v>
      </c>
      <c r="B87" s="2"/>
      <c r="C87" s="3"/>
      <c r="D87" s="4"/>
      <c r="E87" s="5"/>
      <c r="F87" s="3"/>
      <c r="G87" s="4"/>
      <c r="H87" s="25"/>
      <c r="I87" s="5"/>
    </row>
    <row r="88" spans="1:9" x14ac:dyDescent="0.3">
      <c r="A88" s="1">
        <f t="shared" si="2"/>
        <v>84</v>
      </c>
      <c r="B88" s="2"/>
      <c r="C88" s="3"/>
      <c r="D88" s="4"/>
      <c r="E88" s="5"/>
      <c r="F88" s="3"/>
      <c r="G88" s="4"/>
      <c r="H88" s="25"/>
      <c r="I88" s="5"/>
    </row>
    <row r="89" spans="1:9" x14ac:dyDescent="0.3">
      <c r="A89" s="1">
        <f t="shared" si="2"/>
        <v>85</v>
      </c>
      <c r="B89" s="2"/>
      <c r="C89" s="3"/>
      <c r="D89" s="4"/>
      <c r="E89" s="5"/>
      <c r="F89" s="3"/>
      <c r="G89" s="4"/>
      <c r="H89" s="25"/>
      <c r="I89" s="5"/>
    </row>
    <row r="90" spans="1:9" x14ac:dyDescent="0.3">
      <c r="A90" s="1">
        <f t="shared" si="2"/>
        <v>86</v>
      </c>
      <c r="B90" s="2"/>
      <c r="C90" s="3"/>
      <c r="D90" s="4"/>
      <c r="E90" s="5"/>
      <c r="F90" s="3"/>
      <c r="G90" s="4"/>
      <c r="H90" s="25"/>
      <c r="I90" s="5"/>
    </row>
    <row r="91" spans="1:9" x14ac:dyDescent="0.3">
      <c r="A91" s="1">
        <f t="shared" si="2"/>
        <v>87</v>
      </c>
      <c r="B91" s="2"/>
      <c r="C91" s="3"/>
      <c r="D91" s="4"/>
      <c r="E91" s="5"/>
      <c r="F91" s="3"/>
      <c r="G91" s="4"/>
      <c r="H91" s="25"/>
      <c r="I91" s="5"/>
    </row>
    <row r="92" spans="1:9" x14ac:dyDescent="0.3">
      <c r="A92" s="1">
        <f t="shared" si="2"/>
        <v>88</v>
      </c>
      <c r="B92" s="2"/>
      <c r="C92" s="3"/>
      <c r="D92" s="4"/>
      <c r="E92" s="5"/>
      <c r="F92" s="3"/>
      <c r="G92" s="4"/>
      <c r="H92" s="25"/>
      <c r="I92" s="5"/>
    </row>
    <row r="93" spans="1:9" x14ac:dyDescent="0.3">
      <c r="A93" s="1">
        <f t="shared" si="2"/>
        <v>89</v>
      </c>
      <c r="B93" s="2"/>
      <c r="C93" s="3"/>
      <c r="D93" s="4"/>
      <c r="E93" s="5"/>
      <c r="F93" s="3"/>
      <c r="G93" s="4"/>
      <c r="H93" s="25"/>
      <c r="I93" s="5"/>
    </row>
    <row r="94" spans="1:9" x14ac:dyDescent="0.3">
      <c r="A94" s="1">
        <f t="shared" si="2"/>
        <v>90</v>
      </c>
      <c r="B94" s="2"/>
      <c r="C94" s="3"/>
      <c r="D94" s="4"/>
      <c r="E94" s="5"/>
      <c r="F94" s="3"/>
      <c r="G94" s="4"/>
      <c r="H94" s="25"/>
      <c r="I94" s="5"/>
    </row>
    <row r="95" spans="1:9" x14ac:dyDescent="0.3">
      <c r="A95" s="1">
        <f t="shared" si="2"/>
        <v>91</v>
      </c>
      <c r="B95" s="2"/>
      <c r="C95" s="3"/>
      <c r="D95" s="4"/>
      <c r="E95" s="5"/>
      <c r="F95" s="3"/>
      <c r="G95" s="4"/>
      <c r="H95" s="25"/>
      <c r="I95" s="5"/>
    </row>
    <row r="96" spans="1:9" x14ac:dyDescent="0.3">
      <c r="A96" s="1">
        <f t="shared" si="2"/>
        <v>92</v>
      </c>
      <c r="B96" s="2"/>
      <c r="C96" s="3"/>
      <c r="D96" s="4"/>
      <c r="E96" s="5"/>
      <c r="F96" s="3"/>
      <c r="G96" s="4"/>
      <c r="H96" s="25"/>
      <c r="I96" s="5"/>
    </row>
    <row r="97" spans="1:9" x14ac:dyDescent="0.3">
      <c r="A97" s="1">
        <f t="shared" si="2"/>
        <v>93</v>
      </c>
      <c r="B97" s="2"/>
      <c r="C97" s="3"/>
      <c r="D97" s="4"/>
      <c r="E97" s="5"/>
      <c r="F97" s="3"/>
      <c r="G97" s="4"/>
      <c r="H97" s="25"/>
      <c r="I97" s="5"/>
    </row>
    <row r="98" spans="1:9" x14ac:dyDescent="0.3">
      <c r="A98" s="1">
        <f t="shared" si="2"/>
        <v>94</v>
      </c>
      <c r="B98" s="2"/>
      <c r="C98" s="3"/>
      <c r="D98" s="4"/>
      <c r="E98" s="5"/>
      <c r="F98" s="3"/>
      <c r="G98" s="4"/>
      <c r="H98" s="25"/>
      <c r="I98" s="5"/>
    </row>
    <row r="99" spans="1:9" x14ac:dyDescent="0.3">
      <c r="A99" s="1">
        <f t="shared" si="2"/>
        <v>95</v>
      </c>
      <c r="B99" s="2"/>
      <c r="C99" s="3"/>
      <c r="D99" s="4"/>
      <c r="E99" s="5"/>
      <c r="F99" s="3"/>
      <c r="G99" s="4"/>
      <c r="H99" s="25"/>
      <c r="I99" s="5"/>
    </row>
    <row r="100" spans="1:9" x14ac:dyDescent="0.3">
      <c r="A100" s="1">
        <f t="shared" si="2"/>
        <v>96</v>
      </c>
      <c r="B100" s="2"/>
      <c r="C100" s="3"/>
      <c r="D100" s="4"/>
      <c r="E100" s="5"/>
      <c r="F100" s="3"/>
      <c r="G100" s="4"/>
      <c r="H100" s="25"/>
      <c r="I100" s="5"/>
    </row>
    <row r="101" spans="1:9" x14ac:dyDescent="0.3">
      <c r="A101" s="1">
        <f t="shared" si="2"/>
        <v>97</v>
      </c>
      <c r="B101" s="2"/>
      <c r="C101" s="3"/>
      <c r="D101" s="4"/>
      <c r="E101" s="5"/>
      <c r="F101" s="3"/>
      <c r="G101" s="4"/>
      <c r="H101" s="25"/>
      <c r="I101" s="5"/>
    </row>
    <row r="102" spans="1:9" x14ac:dyDescent="0.3">
      <c r="A102" s="1">
        <f t="shared" si="2"/>
        <v>98</v>
      </c>
      <c r="B102" s="2"/>
      <c r="C102" s="3"/>
      <c r="D102" s="4"/>
      <c r="E102" s="5"/>
      <c r="F102" s="3"/>
      <c r="G102" s="4"/>
      <c r="H102" s="25"/>
      <c r="I102" s="5"/>
    </row>
    <row r="103" spans="1:9" x14ac:dyDescent="0.3">
      <c r="A103" s="1">
        <f t="shared" si="2"/>
        <v>99</v>
      </c>
      <c r="B103" s="2"/>
      <c r="C103" s="3"/>
      <c r="D103" s="4"/>
      <c r="E103" s="5"/>
      <c r="F103" s="3"/>
      <c r="G103" s="4"/>
      <c r="H103" s="25"/>
      <c r="I103" s="5"/>
    </row>
    <row r="104" spans="1:9" x14ac:dyDescent="0.3">
      <c r="A104" s="1">
        <f t="shared" si="2"/>
        <v>100</v>
      </c>
      <c r="B104" s="2"/>
      <c r="C104" s="3"/>
      <c r="D104" s="4"/>
      <c r="E104" s="5"/>
      <c r="F104" s="3"/>
      <c r="G104" s="4"/>
      <c r="H104" s="25"/>
      <c r="I104" s="5"/>
    </row>
  </sheetData>
  <mergeCells count="23">
    <mergeCell ref="B1:E1"/>
    <mergeCell ref="K1:M1"/>
    <mergeCell ref="B2:E2"/>
    <mergeCell ref="K2:M2"/>
    <mergeCell ref="C3:E3"/>
    <mergeCell ref="F3:I3"/>
    <mergeCell ref="J3:M3"/>
    <mergeCell ref="K18:M18"/>
    <mergeCell ref="J4:J18"/>
    <mergeCell ref="K5:K6"/>
    <mergeCell ref="L5:L6"/>
    <mergeCell ref="M5:M6"/>
    <mergeCell ref="K8:K9"/>
    <mergeCell ref="L8:L9"/>
    <mergeCell ref="M8:M9"/>
    <mergeCell ref="K10:M10"/>
    <mergeCell ref="L11:M11"/>
    <mergeCell ref="L12:M12"/>
    <mergeCell ref="L13:M13"/>
    <mergeCell ref="L14:M14"/>
    <mergeCell ref="K15:M15"/>
    <mergeCell ref="K16:M16"/>
    <mergeCell ref="K17:M17"/>
  </mergeCells>
  <conditionalFormatting sqref="B10:B104">
    <cfRule type="expression" dxfId="2" priority="3">
      <formula>$E10="OK"</formula>
    </cfRule>
  </conditionalFormatting>
  <conditionalFormatting sqref="B7:B9">
    <cfRule type="expression" dxfId="1" priority="2">
      <formula>$E7="OK"</formula>
    </cfRule>
  </conditionalFormatting>
  <conditionalFormatting sqref="B5:B9">
    <cfRule type="expression" dxfId="0" priority="1">
      <formula>$E5="OK"</formula>
    </cfRule>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9457" r:id="rId4" name="CommandButton5">
          <controlPr defaultSize="0" autoLine="0" r:id="rId5">
            <anchor moveWithCells="1">
              <from>
                <xdr:col>3</xdr:col>
                <xdr:colOff>457200</xdr:colOff>
                <xdr:row>0</xdr:row>
                <xdr:rowOff>144780</xdr:rowOff>
              </from>
              <to>
                <xdr:col>5</xdr:col>
                <xdr:colOff>152400</xdr:colOff>
                <xdr:row>1</xdr:row>
                <xdr:rowOff>198120</xdr:rowOff>
              </to>
            </anchor>
          </controlPr>
        </control>
      </mc:Choice>
      <mc:Fallback>
        <control shapeId="19457" r:id="rId4" name="CommandButton5"/>
      </mc:Fallback>
    </mc:AlternateContent>
    <mc:AlternateContent xmlns:mc="http://schemas.openxmlformats.org/markup-compatibility/2006">
      <mc:Choice Requires="x14">
        <control shapeId="19458" r:id="rId6" name="CommandButton6">
          <controlPr defaultSize="0" autoLine="0" r:id="rId7">
            <anchor moveWithCells="1">
              <from>
                <xdr:col>5</xdr:col>
                <xdr:colOff>266700</xdr:colOff>
                <xdr:row>0</xdr:row>
                <xdr:rowOff>144780</xdr:rowOff>
              </from>
              <to>
                <xdr:col>6</xdr:col>
                <xdr:colOff>449580</xdr:colOff>
                <xdr:row>1</xdr:row>
                <xdr:rowOff>205740</xdr:rowOff>
              </to>
            </anchor>
          </controlPr>
        </control>
      </mc:Choice>
      <mc:Fallback>
        <control shapeId="19458" r:id="rId6" name="CommandButton6"/>
      </mc:Fallback>
    </mc:AlternateContent>
    <mc:AlternateContent xmlns:mc="http://schemas.openxmlformats.org/markup-compatibility/2006">
      <mc:Choice Requires="x14">
        <control shapeId="19459" r:id="rId8" name="CommandButton7">
          <controlPr defaultSize="0" autoLine="0" r:id="rId9">
            <anchor moveWithCells="1">
              <from>
                <xdr:col>6</xdr:col>
                <xdr:colOff>556260</xdr:colOff>
                <xdr:row>0</xdr:row>
                <xdr:rowOff>152400</xdr:rowOff>
              </from>
              <to>
                <xdr:col>8</xdr:col>
                <xdr:colOff>60960</xdr:colOff>
                <xdr:row>1</xdr:row>
                <xdr:rowOff>213360</xdr:rowOff>
              </to>
            </anchor>
          </controlPr>
        </control>
      </mc:Choice>
      <mc:Fallback>
        <control shapeId="19459" r:id="rId8" name="CommandButton7"/>
      </mc:Fallback>
    </mc:AlternateContent>
    <mc:AlternateContent xmlns:mc="http://schemas.openxmlformats.org/markup-compatibility/2006">
      <mc:Choice Requires="x14">
        <control shapeId="19460" r:id="rId10" name="CommandButton8">
          <controlPr defaultSize="0" autoLine="0" r:id="rId11">
            <anchor moveWithCells="1">
              <from>
                <xdr:col>16</xdr:col>
                <xdr:colOff>0</xdr:colOff>
                <xdr:row>0</xdr:row>
                <xdr:rowOff>0</xdr:rowOff>
              </from>
              <to>
                <xdr:col>17</xdr:col>
                <xdr:colOff>327660</xdr:colOff>
                <xdr:row>1</xdr:row>
                <xdr:rowOff>60960</xdr:rowOff>
              </to>
            </anchor>
          </controlPr>
        </control>
      </mc:Choice>
      <mc:Fallback>
        <control shapeId="19460" r:id="rId10" name="CommandButton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Base!$A$1:$A$2</xm:f>
          </x14:formula1>
          <xm:sqref>C5:E104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8"/>
  <dimension ref="A1:P23"/>
  <sheetViews>
    <sheetView topLeftCell="D1" workbookViewId="0">
      <selection activeCell="F3" sqref="F3"/>
    </sheetView>
  </sheetViews>
  <sheetFormatPr defaultRowHeight="14.4" x14ac:dyDescent="0.3"/>
  <cols>
    <col min="5" max="5" width="9.109375" style="27"/>
    <col min="6" max="6" width="15.109375" bestFit="1" customWidth="1"/>
    <col min="7" max="7" width="23.44140625" customWidth="1"/>
    <col min="8" max="8" width="17.6640625" bestFit="1" customWidth="1"/>
    <col min="9" max="9" width="16.21875" bestFit="1" customWidth="1"/>
    <col min="10" max="10" width="14" bestFit="1" customWidth="1"/>
    <col min="12" max="12" width="14" bestFit="1" customWidth="1"/>
  </cols>
  <sheetData>
    <row r="1" spans="1:16" x14ac:dyDescent="0.3">
      <c r="A1" t="s">
        <v>10</v>
      </c>
      <c r="B1" t="s">
        <v>26</v>
      </c>
    </row>
    <row r="2" spans="1:16" x14ac:dyDescent="0.3">
      <c r="A2" t="s">
        <v>11</v>
      </c>
      <c r="B2" t="s">
        <v>28</v>
      </c>
      <c r="F2" s="4" t="s">
        <v>55</v>
      </c>
      <c r="G2" s="4" t="s">
        <v>32</v>
      </c>
      <c r="H2" s="4" t="s">
        <v>49</v>
      </c>
      <c r="I2" s="4" t="s">
        <v>34</v>
      </c>
      <c r="J2" s="4" t="s">
        <v>50</v>
      </c>
    </row>
    <row r="3" spans="1:16" x14ac:dyDescent="0.3">
      <c r="F3" s="4">
        <f>COUNTA('capa (2)'!B5:B20)</f>
        <v>11</v>
      </c>
      <c r="G3" s="4">
        <f>SUM('1'!K5:K6,'2'!K5:K6,'3'!K5:K6,'4'!K5:K6,'5'!K5:K6,'6'!K5:K6,'7'!K5:K6)</f>
        <v>149</v>
      </c>
      <c r="H3" s="4">
        <f>SUM('1'!L5:L6,'2'!L5:L6,'3'!L5:L6,'4'!L5:L6,'5'!L5:L6,'6'!L5:L6,'7'!L5:L6)</f>
        <v>12</v>
      </c>
      <c r="I3" s="4">
        <f>SUM('1'!M5:M6,'2'!M5:M6,'3'!M5:M6,'4'!M5:M6,'5'!M5:M6,'6'!M5:M6,'7'!M5:M6)</f>
        <v>137</v>
      </c>
      <c r="J3" s="52">
        <f>H3/G3</f>
        <v>8.0536912751677847E-2</v>
      </c>
    </row>
    <row r="4" spans="1:16" x14ac:dyDescent="0.3">
      <c r="G4" s="4" t="s">
        <v>54</v>
      </c>
      <c r="H4" s="4" t="s">
        <v>53</v>
      </c>
      <c r="I4" s="4" t="s">
        <v>52</v>
      </c>
      <c r="J4" s="4" t="s">
        <v>51</v>
      </c>
    </row>
    <row r="5" spans="1:16" x14ac:dyDescent="0.3">
      <c r="G5" s="4">
        <f>SUM('1'!K8:K9,'2'!K8:K9,'3'!K8:K9,'4'!K8:K9,'5'!K8:K9,'6'!K8:K9,'7'!K8:K9)</f>
        <v>134</v>
      </c>
      <c r="H5" s="4">
        <f>SUM('1'!L8:L9,'2'!L8:L9,'3'!L8:L9,'4'!L8:L9,'5'!L8:L9,'6'!L8:L9,'7'!L8:L9)</f>
        <v>106</v>
      </c>
      <c r="I5" s="4">
        <f>G5-H5</f>
        <v>28</v>
      </c>
      <c r="J5" s="53">
        <f>H5/G5</f>
        <v>0.79104477611940294</v>
      </c>
    </row>
    <row r="6" spans="1:16" x14ac:dyDescent="0.3">
      <c r="G6" s="1"/>
      <c r="H6" s="1"/>
      <c r="I6" s="1"/>
      <c r="J6" s="1"/>
    </row>
    <row r="7" spans="1:16" x14ac:dyDescent="0.3">
      <c r="G7" s="32" t="s">
        <v>45</v>
      </c>
      <c r="H7" s="3" t="s">
        <v>46</v>
      </c>
      <c r="I7" s="4" t="s">
        <v>41</v>
      </c>
      <c r="J7" s="4" t="s">
        <v>42</v>
      </c>
      <c r="K7" s="4" t="s">
        <v>43</v>
      </c>
      <c r="L7" s="4" t="s">
        <v>44</v>
      </c>
      <c r="M7" s="58" t="s">
        <v>57</v>
      </c>
      <c r="N7" s="57" t="s">
        <v>56</v>
      </c>
      <c r="O7" s="57" t="s">
        <v>58</v>
      </c>
      <c r="P7" s="57" t="s">
        <v>59</v>
      </c>
    </row>
    <row r="8" spans="1:16" x14ac:dyDescent="0.3">
      <c r="G8" s="4" t="str">
        <f>'1'!B3</f>
        <v>PORTUGUÊS</v>
      </c>
      <c r="H8" s="33">
        <f>'1'!$P$1</f>
        <v>0</v>
      </c>
      <c r="I8" s="4">
        <f>'1'!$N$8</f>
        <v>0</v>
      </c>
      <c r="J8" s="1">
        <f>'1'!$N$9</f>
        <v>0</v>
      </c>
      <c r="K8" s="1">
        <f>I8-J8</f>
        <v>0</v>
      </c>
      <c r="L8" s="55" t="str">
        <f>IFERROR(J8/I8,"")</f>
        <v/>
      </c>
      <c r="M8" s="59">
        <f>'1'!$N$5</f>
        <v>16</v>
      </c>
      <c r="N8">
        <f>'1'!$N$6</f>
        <v>0</v>
      </c>
      <c r="O8">
        <f>M8-N8</f>
        <v>16</v>
      </c>
      <c r="P8" s="50">
        <f>N8/M8</f>
        <v>0</v>
      </c>
    </row>
    <row r="9" spans="1:16" x14ac:dyDescent="0.3">
      <c r="G9" s="4" t="str">
        <f>'2'!B3</f>
        <v>Hist. Asp Geoecon</v>
      </c>
      <c r="H9" s="54">
        <f>'2'!$P$1</f>
        <v>0</v>
      </c>
      <c r="I9" s="4">
        <f>'2'!$N$8</f>
        <v>0</v>
      </c>
      <c r="J9" s="1">
        <f>'2'!$N$9</f>
        <v>0</v>
      </c>
      <c r="K9" s="1">
        <f>I9-J9</f>
        <v>0</v>
      </c>
      <c r="L9" s="55" t="str">
        <f>IFERROR(J9/I9,"")</f>
        <v/>
      </c>
      <c r="M9" s="59">
        <f>'2'!$N$5</f>
        <v>16</v>
      </c>
      <c r="N9">
        <f>'2'!$N$6</f>
        <v>0</v>
      </c>
      <c r="O9">
        <f>M9-N9</f>
        <v>16</v>
      </c>
      <c r="P9" s="50">
        <f>N9/M9</f>
        <v>0</v>
      </c>
    </row>
    <row r="10" spans="1:16" x14ac:dyDescent="0.3">
      <c r="G10" s="4" t="str">
        <f>'3'!B3</f>
        <v>Est.do Servidor</v>
      </c>
      <c r="H10" s="33">
        <f>'3'!$P$1</f>
        <v>0</v>
      </c>
      <c r="I10" s="4">
        <f>'3'!$N$8</f>
        <v>104</v>
      </c>
      <c r="J10" s="1">
        <f>'3'!$N$9</f>
        <v>77</v>
      </c>
      <c r="K10" s="1">
        <f>I10-J10</f>
        <v>27</v>
      </c>
      <c r="L10" s="55">
        <f>IFERROR(J10/I10,"")</f>
        <v>0.74038461538461542</v>
      </c>
      <c r="M10" s="59">
        <f>'3'!$N$5</f>
        <v>4</v>
      </c>
      <c r="N10">
        <f>'3'!$N$6</f>
        <v>1</v>
      </c>
      <c r="O10">
        <f>M10-N10</f>
        <v>3</v>
      </c>
      <c r="P10" s="50">
        <f>N10/M10</f>
        <v>0.25</v>
      </c>
    </row>
    <row r="11" spans="1:16" x14ac:dyDescent="0.3">
      <c r="G11" s="4" t="str">
        <f>'4'!B3</f>
        <v>LEI EX. PENAL</v>
      </c>
      <c r="H11" s="33">
        <f>'4'!$P$1</f>
        <v>0</v>
      </c>
      <c r="I11" s="4">
        <f>'4'!$N$8</f>
        <v>20</v>
      </c>
      <c r="J11" s="1">
        <f>'4'!$N$9</f>
        <v>19</v>
      </c>
      <c r="K11" s="1">
        <f>I11-J11</f>
        <v>1</v>
      </c>
      <c r="L11" s="55">
        <f>IFERROR(J11/I11,"")</f>
        <v>0.95</v>
      </c>
      <c r="M11" s="59">
        <f>'4'!$N$5</f>
        <v>30</v>
      </c>
      <c r="N11">
        <f>'4'!$N$6</f>
        <v>8</v>
      </c>
      <c r="O11">
        <f>M11-N11</f>
        <v>22</v>
      </c>
      <c r="P11" s="50">
        <f>N11/M11</f>
        <v>0.26666666666666666</v>
      </c>
    </row>
    <row r="12" spans="1:16" x14ac:dyDescent="0.3">
      <c r="G12" s="4" t="str">
        <f>'5'!B3</f>
        <v>DIREITOS HUMANOS</v>
      </c>
      <c r="H12" s="33">
        <f>'5'!$P$1</f>
        <v>0</v>
      </c>
      <c r="I12" s="4">
        <f>'5'!$N$8</f>
        <v>10</v>
      </c>
      <c r="J12" s="1">
        <f>'5'!$N$9</f>
        <v>10</v>
      </c>
      <c r="K12" s="1">
        <f>I12-J12</f>
        <v>0</v>
      </c>
      <c r="L12" s="55">
        <f>IFERROR(J12/I12,"")</f>
        <v>1</v>
      </c>
      <c r="M12" s="59">
        <f>'5'!$N$5</f>
        <v>31</v>
      </c>
      <c r="N12">
        <f>'5'!$N$6</f>
        <v>1</v>
      </c>
      <c r="O12">
        <f>M12-N12</f>
        <v>30</v>
      </c>
      <c r="P12" s="50">
        <f>N12/M12</f>
        <v>3.2258064516129031E-2</v>
      </c>
    </row>
    <row r="13" spans="1:16" x14ac:dyDescent="0.3">
      <c r="G13" s="4" t="str">
        <f>'6'!B3</f>
        <v>DIREITO ADMINISTRATIVO</v>
      </c>
      <c r="H13" s="33">
        <f>'6'!$P$1</f>
        <v>0</v>
      </c>
      <c r="I13" s="4">
        <f>'6'!$N$8</f>
        <v>0</v>
      </c>
      <c r="J13" s="1"/>
      <c r="K13" s="1"/>
      <c r="L13" s="1"/>
    </row>
    <row r="14" spans="1:16" x14ac:dyDescent="0.3">
      <c r="G14" s="4" t="str">
        <f>'7'!B3</f>
        <v>PROCESSO PENAL</v>
      </c>
      <c r="H14" s="33">
        <f>'7'!$P$1</f>
        <v>0</v>
      </c>
      <c r="I14" s="4">
        <f>'7'!$N$8</f>
        <v>0</v>
      </c>
      <c r="J14" s="1"/>
      <c r="K14" s="1"/>
      <c r="L14" s="1"/>
    </row>
    <row r="15" spans="1:16" x14ac:dyDescent="0.3">
      <c r="G15" s="4"/>
      <c r="H15" s="4"/>
      <c r="I15" s="1"/>
      <c r="J15" s="1"/>
      <c r="K15" s="1"/>
      <c r="L15" s="1"/>
    </row>
    <row r="16" spans="1:16" x14ac:dyDescent="0.3">
      <c r="G16" s="4"/>
      <c r="H16" s="4"/>
      <c r="I16" s="1"/>
      <c r="J16" s="1"/>
      <c r="K16" s="1"/>
      <c r="L16" s="1"/>
    </row>
    <row r="17" spans="7:12" x14ac:dyDescent="0.3">
      <c r="G17" s="4"/>
      <c r="H17" s="4"/>
      <c r="I17" s="1"/>
      <c r="J17" s="1"/>
      <c r="K17" s="1"/>
      <c r="L17" s="1"/>
    </row>
    <row r="18" spans="7:12" x14ac:dyDescent="0.3">
      <c r="G18" s="4"/>
      <c r="H18" s="4"/>
      <c r="I18" s="1"/>
      <c r="J18" s="1"/>
      <c r="K18" s="1"/>
      <c r="L18" s="1"/>
    </row>
    <row r="19" spans="7:12" x14ac:dyDescent="0.3">
      <c r="G19" s="4"/>
      <c r="H19" s="4"/>
      <c r="I19" s="1"/>
      <c r="J19" s="1"/>
      <c r="K19" s="1"/>
      <c r="L19" s="1"/>
    </row>
    <row r="20" spans="7:12" x14ac:dyDescent="0.3">
      <c r="G20" s="4"/>
      <c r="H20" s="4"/>
      <c r="I20" s="1"/>
      <c r="J20" s="1"/>
      <c r="K20" s="1"/>
      <c r="L20" s="1"/>
    </row>
    <row r="21" spans="7:12" x14ac:dyDescent="0.3">
      <c r="G21" s="4"/>
      <c r="H21" s="4"/>
      <c r="I21" s="1"/>
      <c r="J21" s="1"/>
      <c r="K21" s="1"/>
      <c r="L21" s="1"/>
    </row>
    <row r="22" spans="7:12" x14ac:dyDescent="0.3">
      <c r="G22" t="s">
        <v>47</v>
      </c>
      <c r="H22" s="51">
        <f>SUM(H8:H21)</f>
        <v>0</v>
      </c>
    </row>
    <row r="23" spans="7:12" x14ac:dyDescent="0.3">
      <c r="G23" s="56" t="s">
        <v>48</v>
      </c>
      <c r="H23" s="51">
        <f>H22/COUNTA(G8:G21)</f>
        <v>0</v>
      </c>
    </row>
  </sheetData>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3"/>
  <dimension ref="A1:H43"/>
  <sheetViews>
    <sheetView showGridLines="0" showRowColHeaders="0" zoomScale="80" zoomScaleNormal="80" workbookViewId="0">
      <selection sqref="A1:F1"/>
    </sheetView>
  </sheetViews>
  <sheetFormatPr defaultColWidth="9.109375" defaultRowHeight="14.4" x14ac:dyDescent="0.3"/>
  <cols>
    <col min="1" max="1" width="19.21875" style="1" customWidth="1"/>
    <col min="2" max="8" width="23.77734375" style="1" customWidth="1"/>
    <col min="9" max="16384" width="9.109375" style="1"/>
  </cols>
  <sheetData>
    <row r="1" spans="1:8" ht="39" x14ac:dyDescent="0.3">
      <c r="A1" s="150" t="s">
        <v>77</v>
      </c>
      <c r="B1" s="151"/>
      <c r="C1" s="151"/>
      <c r="D1" s="151"/>
      <c r="E1" s="151"/>
      <c r="F1" s="151"/>
      <c r="G1" s="64">
        <f ca="1">TODAY()</f>
        <v>46231</v>
      </c>
      <c r="H1" s="65" t="str">
        <f ca="1">TEXT(G1,"DDDD")</f>
        <v>terça-feira</v>
      </c>
    </row>
    <row r="2" spans="1:8" ht="18" x14ac:dyDescent="0.3">
      <c r="A2" s="63" t="s">
        <v>61</v>
      </c>
      <c r="B2" s="63" t="s">
        <v>62</v>
      </c>
      <c r="C2" s="63" t="s">
        <v>63</v>
      </c>
      <c r="D2" s="63" t="s">
        <v>64</v>
      </c>
      <c r="E2" s="63" t="s">
        <v>65</v>
      </c>
      <c r="F2" s="63" t="s">
        <v>66</v>
      </c>
      <c r="G2" s="63" t="s">
        <v>67</v>
      </c>
      <c r="H2" s="63" t="s">
        <v>68</v>
      </c>
    </row>
    <row r="3" spans="1:8" x14ac:dyDescent="0.3">
      <c r="A3" s="60">
        <v>0.16666666666666666</v>
      </c>
      <c r="B3" s="4"/>
      <c r="C3" s="4"/>
      <c r="D3" s="4"/>
      <c r="E3" s="4"/>
      <c r="F3" s="4"/>
      <c r="G3" s="4"/>
      <c r="H3" s="4"/>
    </row>
    <row r="4" spans="1:8" x14ac:dyDescent="0.3">
      <c r="A4" s="60">
        <v>0.1875</v>
      </c>
      <c r="B4" s="4" t="s">
        <v>73</v>
      </c>
      <c r="C4" s="4"/>
      <c r="D4" s="4"/>
      <c r="E4" s="4"/>
      <c r="F4" s="4"/>
      <c r="G4" s="4"/>
      <c r="H4" s="4"/>
    </row>
    <row r="5" spans="1:8" x14ac:dyDescent="0.3">
      <c r="A5" s="60">
        <v>0.20833333333333301</v>
      </c>
      <c r="B5" s="4" t="s">
        <v>72</v>
      </c>
      <c r="C5" s="4"/>
      <c r="D5" s="4"/>
      <c r="E5" s="4"/>
      <c r="F5" s="4"/>
      <c r="G5" s="4"/>
      <c r="H5" s="4"/>
    </row>
    <row r="6" spans="1:8" x14ac:dyDescent="0.3">
      <c r="A6" s="60">
        <v>0.22916666666666699</v>
      </c>
      <c r="B6" s="4" t="s">
        <v>76</v>
      </c>
      <c r="C6" s="4"/>
      <c r="D6" s="4"/>
      <c r="E6" s="4"/>
      <c r="F6" s="4"/>
      <c r="G6" s="4"/>
      <c r="H6" s="4"/>
    </row>
    <row r="7" spans="1:8" x14ac:dyDescent="0.3">
      <c r="A7" s="60">
        <v>0.25</v>
      </c>
      <c r="B7" s="4" t="s">
        <v>71</v>
      </c>
      <c r="C7" s="4"/>
      <c r="D7" s="4"/>
      <c r="E7" s="4"/>
      <c r="F7" s="4"/>
      <c r="G7" s="4"/>
      <c r="H7" s="4"/>
    </row>
    <row r="8" spans="1:8" x14ac:dyDescent="0.3">
      <c r="A8" s="60">
        <v>0.27083333333333398</v>
      </c>
      <c r="B8" s="4" t="s">
        <v>75</v>
      </c>
      <c r="C8" s="4"/>
      <c r="D8" s="4"/>
      <c r="E8" s="4"/>
      <c r="F8" s="4"/>
      <c r="G8" s="4"/>
      <c r="H8" s="4"/>
    </row>
    <row r="9" spans="1:8" x14ac:dyDescent="0.3">
      <c r="A9" s="60">
        <v>0.29166666666666702</v>
      </c>
      <c r="B9" s="4" t="s">
        <v>70</v>
      </c>
      <c r="C9" s="4"/>
      <c r="D9" s="4"/>
      <c r="E9" s="4"/>
      <c r="F9" s="4"/>
      <c r="G9" s="4"/>
      <c r="H9" s="4"/>
    </row>
    <row r="10" spans="1:8" x14ac:dyDescent="0.3">
      <c r="A10" s="60">
        <v>0.3125</v>
      </c>
      <c r="B10" s="4" t="s">
        <v>70</v>
      </c>
      <c r="C10" s="4"/>
      <c r="D10" s="4"/>
      <c r="E10" s="4"/>
      <c r="F10" s="4"/>
      <c r="G10" s="4"/>
      <c r="H10" s="4"/>
    </row>
    <row r="11" spans="1:8" x14ac:dyDescent="0.3">
      <c r="A11" s="60">
        <v>0.33333333333333398</v>
      </c>
      <c r="B11" s="4" t="s">
        <v>70</v>
      </c>
      <c r="C11" s="4"/>
      <c r="D11" s="4"/>
      <c r="E11" s="4"/>
      <c r="F11" s="4"/>
      <c r="G11" s="4"/>
      <c r="H11" s="4"/>
    </row>
    <row r="12" spans="1:8" x14ac:dyDescent="0.3">
      <c r="A12" s="60">
        <v>0.35416666666666702</v>
      </c>
      <c r="B12" s="4" t="s">
        <v>70</v>
      </c>
      <c r="C12" s="4"/>
      <c r="D12" s="4"/>
      <c r="E12" s="4"/>
      <c r="F12" s="4"/>
      <c r="G12" s="4"/>
      <c r="H12" s="4"/>
    </row>
    <row r="13" spans="1:8" x14ac:dyDescent="0.3">
      <c r="A13" s="60">
        <v>0.375</v>
      </c>
      <c r="B13" s="4" t="s">
        <v>70</v>
      </c>
      <c r="C13" s="4"/>
      <c r="D13" s="4"/>
      <c r="E13" s="4"/>
      <c r="F13" s="4"/>
      <c r="G13" s="4"/>
      <c r="H13" s="4"/>
    </row>
    <row r="14" spans="1:8" x14ac:dyDescent="0.3">
      <c r="A14" s="60">
        <v>0.39583333333333398</v>
      </c>
      <c r="B14" s="4" t="s">
        <v>70</v>
      </c>
      <c r="C14" s="4"/>
      <c r="D14" s="4"/>
      <c r="E14" s="4"/>
      <c r="F14" s="4"/>
      <c r="G14" s="4"/>
      <c r="H14" s="4"/>
    </row>
    <row r="15" spans="1:8" x14ac:dyDescent="0.3">
      <c r="A15" s="60">
        <v>0.41666666666666702</v>
      </c>
      <c r="B15" s="4" t="s">
        <v>70</v>
      </c>
      <c r="C15" s="4"/>
      <c r="D15" s="4"/>
      <c r="E15" s="4"/>
      <c r="F15" s="4"/>
      <c r="G15" s="4"/>
      <c r="H15" s="4"/>
    </row>
    <row r="16" spans="1:8" x14ac:dyDescent="0.3">
      <c r="A16" s="60">
        <v>0.4375</v>
      </c>
      <c r="B16" s="4" t="s">
        <v>70</v>
      </c>
      <c r="C16" s="4"/>
      <c r="D16" s="4"/>
      <c r="E16" s="4"/>
      <c r="F16" s="4"/>
      <c r="G16" s="4"/>
      <c r="H16" s="4"/>
    </row>
    <row r="17" spans="1:8" x14ac:dyDescent="0.3">
      <c r="A17" s="61">
        <v>0.45833333333333398</v>
      </c>
      <c r="B17" s="4" t="s">
        <v>70</v>
      </c>
      <c r="C17" s="4"/>
      <c r="D17" s="4"/>
      <c r="E17" s="4"/>
      <c r="F17" s="4"/>
      <c r="G17" s="4"/>
      <c r="H17" s="4"/>
    </row>
    <row r="18" spans="1:8" x14ac:dyDescent="0.3">
      <c r="A18" s="61">
        <v>0.47916666666666702</v>
      </c>
      <c r="B18" s="4" t="s">
        <v>70</v>
      </c>
      <c r="C18" s="4"/>
      <c r="D18" s="4"/>
      <c r="E18" s="4"/>
      <c r="F18" s="4"/>
      <c r="G18" s="4"/>
      <c r="H18" s="4"/>
    </row>
    <row r="19" spans="1:8" x14ac:dyDescent="0.3">
      <c r="A19" s="61">
        <v>0.5</v>
      </c>
      <c r="B19" s="4" t="s">
        <v>70</v>
      </c>
      <c r="C19" s="4"/>
      <c r="D19" s="4"/>
      <c r="E19" s="4"/>
      <c r="F19" s="4"/>
      <c r="G19" s="4"/>
      <c r="H19" s="4"/>
    </row>
    <row r="20" spans="1:8" x14ac:dyDescent="0.3">
      <c r="A20" s="61">
        <v>0.52083333333333404</v>
      </c>
      <c r="B20" s="4" t="s">
        <v>70</v>
      </c>
      <c r="C20" s="4"/>
      <c r="D20" s="4"/>
      <c r="E20" s="4"/>
      <c r="F20" s="4"/>
      <c r="G20" s="4"/>
      <c r="H20" s="4"/>
    </row>
    <row r="21" spans="1:8" x14ac:dyDescent="0.3">
      <c r="A21" s="61">
        <v>0.54166666666666696</v>
      </c>
      <c r="B21" s="4" t="s">
        <v>69</v>
      </c>
      <c r="C21" s="4"/>
      <c r="D21" s="4"/>
      <c r="E21" s="4"/>
      <c r="F21" s="4"/>
      <c r="G21" s="4"/>
      <c r="H21" s="4"/>
    </row>
    <row r="22" spans="1:8" x14ac:dyDescent="0.3">
      <c r="A22" s="61">
        <v>0.5625</v>
      </c>
      <c r="B22" s="4" t="s">
        <v>69</v>
      </c>
      <c r="C22" s="4"/>
      <c r="D22" s="4"/>
      <c r="E22" s="4"/>
      <c r="F22" s="4"/>
      <c r="G22" s="4"/>
      <c r="H22" s="4"/>
    </row>
    <row r="23" spans="1:8" x14ac:dyDescent="0.3">
      <c r="A23" s="61">
        <v>0.58333333333333404</v>
      </c>
      <c r="B23" s="4" t="s">
        <v>70</v>
      </c>
      <c r="C23" s="4"/>
      <c r="D23" s="4"/>
      <c r="E23" s="4"/>
      <c r="F23" s="4"/>
      <c r="G23" s="4"/>
      <c r="H23" s="4"/>
    </row>
    <row r="24" spans="1:8" x14ac:dyDescent="0.3">
      <c r="A24" s="61">
        <v>0.60416666666666696</v>
      </c>
      <c r="B24" s="4" t="s">
        <v>70</v>
      </c>
      <c r="C24" s="4"/>
      <c r="D24" s="4"/>
      <c r="E24" s="4"/>
      <c r="F24" s="4"/>
      <c r="G24" s="4"/>
      <c r="H24" s="4"/>
    </row>
    <row r="25" spans="1:8" x14ac:dyDescent="0.3">
      <c r="A25" s="61">
        <v>0.625000000000001</v>
      </c>
      <c r="B25" s="4" t="s">
        <v>70</v>
      </c>
      <c r="C25" s="4"/>
      <c r="D25" s="4"/>
      <c r="E25" s="4"/>
      <c r="F25" s="4"/>
      <c r="G25" s="4"/>
      <c r="H25" s="4"/>
    </row>
    <row r="26" spans="1:8" x14ac:dyDescent="0.3">
      <c r="A26" s="61">
        <v>0.64583333333333404</v>
      </c>
      <c r="B26" s="4" t="s">
        <v>70</v>
      </c>
      <c r="C26" s="4"/>
      <c r="D26" s="4"/>
      <c r="E26" s="4"/>
      <c r="F26" s="4"/>
      <c r="G26" s="4"/>
      <c r="H26" s="4"/>
    </row>
    <row r="27" spans="1:8" x14ac:dyDescent="0.3">
      <c r="A27" s="61">
        <v>0.66666666666666696</v>
      </c>
      <c r="B27" s="4" t="s">
        <v>70</v>
      </c>
      <c r="C27" s="4"/>
      <c r="D27" s="4"/>
      <c r="E27" s="4"/>
      <c r="F27" s="4"/>
      <c r="G27" s="4"/>
      <c r="H27" s="4"/>
    </row>
    <row r="28" spans="1:8" x14ac:dyDescent="0.3">
      <c r="A28" s="61">
        <v>0.687500000000001</v>
      </c>
      <c r="B28" s="4" t="s">
        <v>70</v>
      </c>
      <c r="C28" s="4"/>
      <c r="D28" s="4"/>
      <c r="E28" s="4"/>
      <c r="F28" s="4"/>
      <c r="G28" s="4"/>
      <c r="H28" s="4"/>
    </row>
    <row r="29" spans="1:8" x14ac:dyDescent="0.3">
      <c r="A29" s="61">
        <v>0.70833333333333404</v>
      </c>
      <c r="B29" s="4" t="s">
        <v>74</v>
      </c>
      <c r="C29" s="4"/>
      <c r="D29" s="4"/>
      <c r="E29" s="4"/>
      <c r="F29" s="4"/>
      <c r="G29" s="4"/>
      <c r="H29" s="4"/>
    </row>
    <row r="30" spans="1:8" x14ac:dyDescent="0.3">
      <c r="A30" s="61">
        <v>0.72916666666666696</v>
      </c>
      <c r="B30" s="4" t="s">
        <v>74</v>
      </c>
      <c r="C30" s="4"/>
      <c r="D30" s="4"/>
      <c r="E30" s="4"/>
      <c r="F30" s="4"/>
      <c r="G30" s="4"/>
      <c r="H30" s="4"/>
    </row>
    <row r="31" spans="1:8" x14ac:dyDescent="0.3">
      <c r="A31" s="62">
        <v>0.750000000000001</v>
      </c>
      <c r="B31" s="4" t="s">
        <v>75</v>
      </c>
      <c r="C31" s="4"/>
      <c r="D31" s="4"/>
      <c r="E31" s="4"/>
      <c r="F31" s="4"/>
      <c r="G31" s="4"/>
      <c r="H31" s="4"/>
    </row>
    <row r="32" spans="1:8" x14ac:dyDescent="0.3">
      <c r="A32" s="62">
        <v>0.77083333333333404</v>
      </c>
      <c r="B32" s="4" t="s">
        <v>75</v>
      </c>
      <c r="C32" s="4"/>
      <c r="D32" s="4"/>
      <c r="E32" s="4"/>
      <c r="F32" s="4"/>
      <c r="G32" s="4"/>
      <c r="H32" s="4"/>
    </row>
    <row r="33" spans="1:8" x14ac:dyDescent="0.3">
      <c r="A33" s="62">
        <v>0.79166666666666696</v>
      </c>
      <c r="B33" s="4" t="s">
        <v>75</v>
      </c>
      <c r="C33" s="4"/>
      <c r="D33" s="4"/>
      <c r="E33" s="4"/>
      <c r="F33" s="4"/>
      <c r="G33" s="4"/>
      <c r="H33" s="4"/>
    </row>
    <row r="34" spans="1:8" x14ac:dyDescent="0.3">
      <c r="A34" s="62">
        <v>0.812500000000001</v>
      </c>
      <c r="B34" s="4" t="s">
        <v>75</v>
      </c>
      <c r="C34" s="4"/>
      <c r="D34" s="4"/>
      <c r="E34" s="4"/>
      <c r="F34" s="4"/>
      <c r="G34" s="4"/>
      <c r="H34" s="4"/>
    </row>
    <row r="35" spans="1:8" x14ac:dyDescent="0.3">
      <c r="A35" s="62">
        <v>0.83333333333333404</v>
      </c>
      <c r="B35" s="4" t="s">
        <v>75</v>
      </c>
      <c r="C35" s="4"/>
      <c r="D35" s="4"/>
      <c r="E35" s="4"/>
      <c r="F35" s="4"/>
      <c r="G35" s="4"/>
      <c r="H35" s="4"/>
    </row>
    <row r="36" spans="1:8" x14ac:dyDescent="0.3">
      <c r="A36" s="62">
        <v>0.85416666666666696</v>
      </c>
      <c r="B36" s="4" t="s">
        <v>75</v>
      </c>
      <c r="C36" s="4"/>
      <c r="D36" s="4"/>
      <c r="E36" s="4"/>
      <c r="F36" s="4"/>
      <c r="G36" s="4"/>
      <c r="H36" s="4"/>
    </row>
    <row r="37" spans="1:8" x14ac:dyDescent="0.3">
      <c r="A37" s="62">
        <v>0.875000000000001</v>
      </c>
      <c r="B37" s="4" t="s">
        <v>69</v>
      </c>
      <c r="C37" s="4"/>
      <c r="D37" s="4"/>
      <c r="E37" s="4"/>
      <c r="F37" s="4"/>
      <c r="G37" s="4"/>
      <c r="H37" s="4"/>
    </row>
    <row r="38" spans="1:8" x14ac:dyDescent="0.3">
      <c r="A38" s="62">
        <v>0.89583333333333404</v>
      </c>
      <c r="B38" s="4" t="s">
        <v>69</v>
      </c>
      <c r="C38" s="4"/>
      <c r="D38" s="4"/>
      <c r="E38" s="4"/>
      <c r="F38" s="4"/>
      <c r="G38" s="4"/>
      <c r="H38" s="4"/>
    </row>
    <row r="39" spans="1:8" x14ac:dyDescent="0.3">
      <c r="A39" s="62">
        <v>0.91666666666666696</v>
      </c>
      <c r="B39" s="4" t="s">
        <v>69</v>
      </c>
      <c r="C39" s="4"/>
      <c r="D39" s="4"/>
      <c r="E39" s="4"/>
      <c r="F39" s="4"/>
      <c r="G39" s="4"/>
      <c r="H39" s="4"/>
    </row>
    <row r="40" spans="1:8" x14ac:dyDescent="0.3">
      <c r="A40" s="62">
        <v>0.937500000000001</v>
      </c>
      <c r="B40" s="4" t="s">
        <v>69</v>
      </c>
      <c r="C40" s="4"/>
      <c r="D40" s="4"/>
      <c r="E40" s="4"/>
      <c r="F40" s="4"/>
      <c r="G40" s="4"/>
      <c r="H40" s="4"/>
    </row>
    <row r="41" spans="1:8" x14ac:dyDescent="0.3">
      <c r="A41" s="62">
        <v>0.95833333333333404</v>
      </c>
      <c r="B41" s="4" t="s">
        <v>69</v>
      </c>
      <c r="C41" s="4"/>
      <c r="D41" s="4"/>
      <c r="E41" s="4"/>
      <c r="F41" s="4"/>
      <c r="G41" s="4"/>
      <c r="H41" s="4"/>
    </row>
    <row r="42" spans="1:8" x14ac:dyDescent="0.3">
      <c r="A42" s="62">
        <v>0.97916666666666696</v>
      </c>
      <c r="B42" s="4" t="s">
        <v>69</v>
      </c>
      <c r="C42" s="4"/>
      <c r="D42" s="4"/>
      <c r="E42" s="4"/>
      <c r="F42" s="4"/>
      <c r="G42" s="4"/>
      <c r="H42" s="4"/>
    </row>
    <row r="43" spans="1:8" x14ac:dyDescent="0.3">
      <c r="A43" s="62">
        <v>1</v>
      </c>
      <c r="B43" s="4" t="s">
        <v>69</v>
      </c>
      <c r="C43" s="4"/>
      <c r="D43" s="4"/>
      <c r="E43" s="4"/>
      <c r="F43" s="4"/>
      <c r="G43" s="4"/>
      <c r="H43" s="4"/>
    </row>
  </sheetData>
  <mergeCells count="1">
    <mergeCell ref="A1:F1"/>
  </mergeCells>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
  <dimension ref="A1:AF26"/>
  <sheetViews>
    <sheetView showGridLines="0" showRowColHeaders="0" tabSelected="1" zoomScale="80" zoomScaleNormal="80" workbookViewId="0">
      <selection activeCell="A3" sqref="A3"/>
    </sheetView>
  </sheetViews>
  <sheetFormatPr defaultRowHeight="18" x14ac:dyDescent="0.35"/>
  <cols>
    <col min="1" max="1" width="16.21875" customWidth="1"/>
    <col min="2" max="2" width="9.77734375" customWidth="1"/>
    <col min="3" max="3" width="4.6640625" customWidth="1"/>
    <col min="4" max="4" width="14.6640625" customWidth="1"/>
    <col min="5" max="5" width="8.21875" customWidth="1"/>
    <col min="6" max="6" width="4.6640625" style="83" customWidth="1"/>
    <col min="7" max="7" width="12.6640625" customWidth="1"/>
    <col min="8" max="8" width="8.21875" customWidth="1"/>
    <col min="9" max="9" width="4.6640625" style="83" customWidth="1"/>
    <col min="10" max="10" width="15" customWidth="1"/>
    <col min="11" max="11" width="7.6640625" customWidth="1"/>
    <col min="12" max="12" width="4.6640625" style="83" customWidth="1"/>
    <col min="13" max="13" width="12.6640625" customWidth="1"/>
    <col min="14" max="14" width="7.6640625" customWidth="1"/>
    <col min="15" max="15" width="4.6640625" style="83" customWidth="1"/>
    <col min="16" max="16" width="12.6640625" customWidth="1"/>
    <col min="17" max="17" width="8.88671875" customWidth="1"/>
    <col min="18" max="18" width="4.6640625" style="83" customWidth="1"/>
    <col min="19" max="19" width="12.6640625" customWidth="1"/>
    <col min="20" max="20" width="10.109375" customWidth="1"/>
    <col min="21" max="21" width="4.6640625" style="83" customWidth="1"/>
    <col min="29" max="30" width="12.44140625" bestFit="1" customWidth="1"/>
    <col min="31" max="31" width="9" customWidth="1"/>
    <col min="32" max="32" width="12.44140625" bestFit="1" customWidth="1"/>
  </cols>
  <sheetData>
    <row r="1" spans="1:32" ht="39" customHeight="1" x14ac:dyDescent="0.35">
      <c r="A1" s="27"/>
      <c r="B1" s="27"/>
      <c r="C1" s="27"/>
      <c r="D1" s="105" t="s">
        <v>84</v>
      </c>
      <c r="E1" s="105"/>
      <c r="F1" s="105"/>
      <c r="G1" s="105"/>
      <c r="H1" s="105"/>
      <c r="I1" s="105"/>
      <c r="J1" s="105"/>
      <c r="K1" s="105"/>
      <c r="L1" s="105"/>
      <c r="M1" s="105"/>
      <c r="N1" s="105"/>
      <c r="O1" s="105"/>
      <c r="P1" s="105"/>
      <c r="Q1" s="27"/>
      <c r="R1" s="90"/>
      <c r="S1" s="27"/>
      <c r="T1" s="27"/>
      <c r="U1" s="90"/>
      <c r="Z1" t="s">
        <v>86</v>
      </c>
      <c r="AA1" t="s">
        <v>93</v>
      </c>
      <c r="AB1" t="s">
        <v>87</v>
      </c>
      <c r="AC1" t="s">
        <v>89</v>
      </c>
      <c r="AD1" t="s">
        <v>90</v>
      </c>
      <c r="AE1" t="s">
        <v>91</v>
      </c>
      <c r="AF1" t="s">
        <v>92</v>
      </c>
    </row>
    <row r="2" spans="1:32" s="78" customFormat="1" ht="30" customHeight="1" x14ac:dyDescent="0.3">
      <c r="A2" s="87">
        <v>46230</v>
      </c>
      <c r="B2" s="77" t="str">
        <f>TEXT(A2,"DDDD")</f>
        <v>segunda-feira</v>
      </c>
      <c r="C2" s="80"/>
      <c r="D2" s="89">
        <f>A2+1</f>
        <v>46231</v>
      </c>
      <c r="E2" s="77" t="str">
        <f>TEXT(D2,"DDDD")</f>
        <v>terça-feira</v>
      </c>
      <c r="F2" s="80"/>
      <c r="G2" s="89">
        <f>D2+1</f>
        <v>46232</v>
      </c>
      <c r="H2" s="77" t="str">
        <f>TEXT(G2,"DDDD")</f>
        <v>quarta-feira</v>
      </c>
      <c r="I2" s="80"/>
      <c r="J2" s="89">
        <f>G2+1</f>
        <v>46233</v>
      </c>
      <c r="K2" s="77" t="str">
        <f>TEXT(J2,"DDDD")</f>
        <v>quinta-feira</v>
      </c>
      <c r="L2" s="80"/>
      <c r="M2" s="89">
        <f>J2+1</f>
        <v>46234</v>
      </c>
      <c r="N2" s="77" t="str">
        <f>TEXT(M2,"DDDD")</f>
        <v>sexta-feira</v>
      </c>
      <c r="O2" s="80"/>
      <c r="P2" s="89">
        <f>M2+1</f>
        <v>46235</v>
      </c>
      <c r="Q2" s="77" t="str">
        <f>TEXT(P2,"DDDD")</f>
        <v>sábado</v>
      </c>
      <c r="R2" s="80"/>
      <c r="S2" s="89">
        <f>P2+1</f>
        <v>46236</v>
      </c>
      <c r="T2" s="77" t="str">
        <f>TEXT(S2,"DDDD")</f>
        <v>domingo</v>
      </c>
      <c r="U2" s="80"/>
      <c r="V2" s="91" t="s">
        <v>10</v>
      </c>
      <c r="Z2" s="78">
        <v>68</v>
      </c>
      <c r="AA2" s="78">
        <f>Z2-AB2-AC2</f>
        <v>47</v>
      </c>
      <c r="AB2" s="78">
        <f>COUNTIF(A3:U26,AB3)</f>
        <v>0</v>
      </c>
      <c r="AC2" s="94">
        <f>COUNTIF(A3:U26,AC3)</f>
        <v>21</v>
      </c>
      <c r="AD2" s="93">
        <f>AB2/Z2</f>
        <v>0</v>
      </c>
      <c r="AE2" s="93">
        <f>AC2/Z2</f>
        <v>0.30882352941176472</v>
      </c>
      <c r="AF2" s="93"/>
    </row>
    <row r="3" spans="1:32" ht="24" customHeight="1" x14ac:dyDescent="0.3">
      <c r="A3" s="70" t="s">
        <v>99</v>
      </c>
      <c r="B3" s="73">
        <v>0.33333333333333331</v>
      </c>
      <c r="C3" s="81"/>
      <c r="D3" s="70" t="s">
        <v>332</v>
      </c>
      <c r="E3" s="73">
        <v>0.33333333333333331</v>
      </c>
      <c r="F3" s="81" t="s">
        <v>10</v>
      </c>
      <c r="G3" s="70" t="s">
        <v>335</v>
      </c>
      <c r="H3" s="70"/>
      <c r="I3" s="81" t="s">
        <v>10</v>
      </c>
      <c r="J3" s="70" t="s">
        <v>336</v>
      </c>
      <c r="K3" s="73">
        <v>0.33333333333333331</v>
      </c>
      <c r="L3" s="81" t="s">
        <v>10</v>
      </c>
      <c r="M3" s="70" t="s">
        <v>337</v>
      </c>
      <c r="N3" s="73">
        <v>0.33333333333333331</v>
      </c>
      <c r="O3" s="81"/>
      <c r="P3" s="70" t="s">
        <v>334</v>
      </c>
      <c r="Q3" s="70"/>
      <c r="R3" s="81"/>
      <c r="S3" s="4" t="s">
        <v>7</v>
      </c>
      <c r="T3" s="70"/>
      <c r="U3" s="81"/>
      <c r="V3" s="92" t="s">
        <v>11</v>
      </c>
      <c r="AB3" t="s">
        <v>88</v>
      </c>
      <c r="AC3" t="s">
        <v>82</v>
      </c>
    </row>
    <row r="4" spans="1:32" ht="3.9" customHeight="1" x14ac:dyDescent="0.3">
      <c r="A4" s="71"/>
      <c r="B4" s="71"/>
      <c r="C4" s="81"/>
      <c r="D4" s="71"/>
      <c r="E4" s="71"/>
      <c r="F4" s="81"/>
      <c r="G4" s="71"/>
      <c r="H4" s="71"/>
      <c r="I4" s="81"/>
      <c r="J4" s="71"/>
      <c r="K4" s="71"/>
      <c r="L4" s="81"/>
      <c r="M4" s="71"/>
      <c r="N4" s="71"/>
      <c r="O4" s="81"/>
      <c r="P4" s="72"/>
      <c r="Q4" s="71"/>
      <c r="R4" s="81"/>
      <c r="S4" s="71"/>
      <c r="T4" s="71"/>
      <c r="U4" s="81"/>
      <c r="V4" s="92"/>
    </row>
    <row r="5" spans="1:32" ht="22.5" customHeight="1" x14ac:dyDescent="0.3">
      <c r="A5" s="70" t="s">
        <v>85</v>
      </c>
      <c r="B5" s="73">
        <v>0.36458333333333331</v>
      </c>
      <c r="C5" s="81"/>
      <c r="D5" s="70" t="s">
        <v>333</v>
      </c>
      <c r="E5" s="73">
        <v>0.36458333333333331</v>
      </c>
      <c r="F5" s="81"/>
      <c r="G5" s="70" t="s">
        <v>334</v>
      </c>
      <c r="H5" s="73"/>
      <c r="I5" s="81" t="s">
        <v>10</v>
      </c>
      <c r="J5" s="70" t="s">
        <v>85</v>
      </c>
      <c r="K5" s="73">
        <v>0.36458333333333331</v>
      </c>
      <c r="L5" s="81" t="s">
        <v>10</v>
      </c>
      <c r="M5" s="70" t="s">
        <v>332</v>
      </c>
      <c r="N5" s="73">
        <v>0.36458333333333331</v>
      </c>
      <c r="O5" s="81"/>
      <c r="P5" s="70" t="s">
        <v>335</v>
      </c>
      <c r="Q5" s="70"/>
      <c r="R5" s="81"/>
      <c r="S5" s="4" t="s">
        <v>7</v>
      </c>
      <c r="T5" s="73"/>
      <c r="U5" s="81"/>
    </row>
    <row r="6" spans="1:32" ht="3.9" customHeight="1" x14ac:dyDescent="0.3">
      <c r="A6" s="71"/>
      <c r="B6" s="71"/>
      <c r="C6" s="82"/>
      <c r="D6" s="71"/>
      <c r="E6" s="71"/>
      <c r="F6" s="82"/>
      <c r="G6" s="71"/>
      <c r="H6" s="71"/>
      <c r="I6" s="82"/>
      <c r="J6" s="71"/>
      <c r="K6" s="71"/>
      <c r="L6" s="82"/>
      <c r="M6" s="71"/>
      <c r="N6" s="71"/>
      <c r="O6" s="82"/>
      <c r="P6" s="71"/>
      <c r="Q6" s="71"/>
      <c r="R6" s="82"/>
      <c r="S6" s="71"/>
      <c r="T6" s="71"/>
      <c r="U6" s="85"/>
    </row>
    <row r="7" spans="1:32" s="78" customFormat="1" ht="30" customHeight="1" x14ac:dyDescent="0.3">
      <c r="A7" s="88">
        <f>S2+1</f>
        <v>46237</v>
      </c>
      <c r="B7" s="79" t="str">
        <f>TEXT(A7,"DDDD")</f>
        <v>segunda-feira</v>
      </c>
      <c r="C7" s="80"/>
      <c r="D7" s="88">
        <f>A7+1</f>
        <v>46238</v>
      </c>
      <c r="E7" s="79" t="str">
        <f>TEXT(D7,"DDDD")</f>
        <v>terça-feira</v>
      </c>
      <c r="F7" s="80"/>
      <c r="G7" s="88">
        <f>D7+1</f>
        <v>46239</v>
      </c>
      <c r="H7" s="79" t="str">
        <f>TEXT(G7,"DDDD")</f>
        <v>quarta-feira</v>
      </c>
      <c r="I7" s="80"/>
      <c r="J7" s="88">
        <f>G7+1</f>
        <v>46240</v>
      </c>
      <c r="K7" s="79" t="str">
        <f>TEXT(J7,"DDDD")</f>
        <v>quinta-feira</v>
      </c>
      <c r="L7" s="80"/>
      <c r="M7" s="88">
        <f>J7+1</f>
        <v>46241</v>
      </c>
      <c r="N7" s="79" t="str">
        <f>TEXT(M7,"DDDD")</f>
        <v>sexta-feira</v>
      </c>
      <c r="O7" s="80"/>
      <c r="P7" s="88">
        <f>M7+1</f>
        <v>46242</v>
      </c>
      <c r="Q7" s="79" t="str">
        <f>TEXT(P7,"DDDD")</f>
        <v>sábado</v>
      </c>
      <c r="R7" s="80"/>
      <c r="S7" s="88">
        <f>P7+1</f>
        <v>46243</v>
      </c>
      <c r="T7" s="79" t="str">
        <f>TEXT(S7,"DDDD")</f>
        <v>domingo</v>
      </c>
      <c r="U7" s="80"/>
    </row>
    <row r="8" spans="1:32" ht="24.75" customHeight="1" x14ac:dyDescent="0.3">
      <c r="A8" s="70" t="s">
        <v>99</v>
      </c>
      <c r="B8" s="73">
        <v>0.33333333333333331</v>
      </c>
      <c r="C8" s="81"/>
      <c r="D8" s="70" t="s">
        <v>332</v>
      </c>
      <c r="E8" s="73">
        <v>0.33333333333333331</v>
      </c>
      <c r="F8" s="81"/>
      <c r="G8" s="70" t="s">
        <v>335</v>
      </c>
      <c r="H8" s="70"/>
      <c r="I8" s="81"/>
      <c r="J8" s="70" t="s">
        <v>336</v>
      </c>
      <c r="K8" s="73">
        <v>0.33333333333333331</v>
      </c>
      <c r="L8" s="81"/>
      <c r="M8" s="70" t="s">
        <v>337</v>
      </c>
      <c r="N8" s="73">
        <v>0.33333333333333331</v>
      </c>
      <c r="O8" s="81"/>
      <c r="P8" s="70" t="s">
        <v>332</v>
      </c>
      <c r="Q8" s="70"/>
      <c r="R8" s="81"/>
      <c r="S8" s="4" t="s">
        <v>7</v>
      </c>
      <c r="T8" s="70"/>
      <c r="U8" s="81"/>
    </row>
    <row r="9" spans="1:32" ht="3.9" customHeight="1" x14ac:dyDescent="0.3">
      <c r="A9" s="71"/>
      <c r="B9" s="71"/>
      <c r="C9" s="81"/>
      <c r="D9" s="71"/>
      <c r="E9" s="71"/>
      <c r="F9" s="81"/>
      <c r="G9" s="71"/>
      <c r="H9" s="71"/>
      <c r="I9" s="81"/>
      <c r="J9" s="71"/>
      <c r="K9" s="71"/>
      <c r="L9" s="81"/>
      <c r="M9" s="71"/>
      <c r="N9" s="71"/>
      <c r="O9" s="81"/>
      <c r="P9" s="72"/>
      <c r="Q9" s="71"/>
      <c r="R9" s="81"/>
      <c r="S9" s="71"/>
      <c r="T9" s="71"/>
      <c r="U9" s="81"/>
    </row>
    <row r="10" spans="1:32" ht="21.75" customHeight="1" x14ac:dyDescent="0.3">
      <c r="A10" s="70" t="s">
        <v>85</v>
      </c>
      <c r="B10" s="73">
        <v>0.36458333333333331</v>
      </c>
      <c r="C10" s="81"/>
      <c r="D10" s="70" t="s">
        <v>333</v>
      </c>
      <c r="E10" s="73">
        <v>0.36458333333333331</v>
      </c>
      <c r="F10" s="81"/>
      <c r="G10" s="70" t="s">
        <v>334</v>
      </c>
      <c r="H10" s="73"/>
      <c r="I10" s="81"/>
      <c r="J10" s="70" t="s">
        <v>85</v>
      </c>
      <c r="K10" s="73">
        <v>0.36458333333333331</v>
      </c>
      <c r="L10" s="81"/>
      <c r="M10" s="70" t="s">
        <v>332</v>
      </c>
      <c r="N10" s="73">
        <v>0.36458333333333331</v>
      </c>
      <c r="O10" s="81"/>
      <c r="P10" s="70" t="s">
        <v>335</v>
      </c>
      <c r="Q10" s="70"/>
      <c r="R10" s="81"/>
      <c r="S10" s="4" t="s">
        <v>7</v>
      </c>
      <c r="T10" s="73"/>
      <c r="U10" s="81"/>
    </row>
    <row r="11" spans="1:32" ht="3.9" customHeight="1" x14ac:dyDescent="0.3">
      <c r="A11" s="71"/>
      <c r="B11" s="71"/>
      <c r="C11" s="82"/>
      <c r="D11" s="71"/>
      <c r="E11" s="71"/>
      <c r="F11" s="82"/>
      <c r="G11" s="71"/>
      <c r="H11" s="71"/>
      <c r="I11" s="82"/>
      <c r="J11" s="71"/>
      <c r="K11" s="71"/>
      <c r="L11" s="82"/>
      <c r="M11" s="71"/>
      <c r="N11" s="71"/>
      <c r="O11" s="82"/>
      <c r="P11" s="71"/>
      <c r="Q11" s="71"/>
      <c r="R11" s="82"/>
      <c r="S11" s="71"/>
      <c r="T11" s="71"/>
      <c r="U11" s="85"/>
    </row>
    <row r="12" spans="1:32" s="78" customFormat="1" ht="30" customHeight="1" x14ac:dyDescent="0.3">
      <c r="A12" s="88">
        <f>S7+1</f>
        <v>46244</v>
      </c>
      <c r="B12" s="79" t="str">
        <f>TEXT(A12,"DDDD")</f>
        <v>segunda-feira</v>
      </c>
      <c r="C12" s="80"/>
      <c r="D12" s="88">
        <f>A12+1</f>
        <v>46245</v>
      </c>
      <c r="E12" s="79" t="str">
        <f>TEXT(D12,"DDDD")</f>
        <v>terça-feira</v>
      </c>
      <c r="F12" s="80"/>
      <c r="G12" s="88">
        <f>D12+1</f>
        <v>46246</v>
      </c>
      <c r="H12" s="79" t="str">
        <f>TEXT(G12,"DDDD")</f>
        <v>quarta-feira</v>
      </c>
      <c r="I12" s="80"/>
      <c r="J12" s="88">
        <f>G12+1</f>
        <v>46247</v>
      </c>
      <c r="K12" s="79" t="str">
        <f>TEXT(J12,"DDDD")</f>
        <v>quinta-feira</v>
      </c>
      <c r="L12" s="80"/>
      <c r="M12" s="88">
        <f>J12+1</f>
        <v>46248</v>
      </c>
      <c r="N12" s="79" t="str">
        <f>TEXT(M12,"DDDD")</f>
        <v>sexta-feira</v>
      </c>
      <c r="O12" s="80"/>
      <c r="P12" s="88">
        <f>M12+1</f>
        <v>46249</v>
      </c>
      <c r="Q12" s="79" t="str">
        <f>TEXT(P12,"DDDD")</f>
        <v>sábado</v>
      </c>
      <c r="R12" s="80"/>
      <c r="S12" s="88">
        <f>P12+1</f>
        <v>46250</v>
      </c>
      <c r="T12" s="79" t="str">
        <f>TEXT(S12,"DDDD")</f>
        <v>domingo</v>
      </c>
      <c r="U12" s="80"/>
    </row>
    <row r="13" spans="1:32" ht="22.5" customHeight="1" x14ac:dyDescent="0.3">
      <c r="A13" s="70" t="s">
        <v>99</v>
      </c>
      <c r="B13" s="73">
        <v>0.33333333333333331</v>
      </c>
      <c r="C13" s="81" t="s">
        <v>10</v>
      </c>
      <c r="D13" s="70" t="s">
        <v>332</v>
      </c>
      <c r="E13" s="73">
        <v>0.33333333333333331</v>
      </c>
      <c r="F13" s="81" t="s">
        <v>10</v>
      </c>
      <c r="G13" s="70" t="s">
        <v>335</v>
      </c>
      <c r="H13" s="70"/>
      <c r="I13" s="81"/>
      <c r="J13" s="70" t="s">
        <v>336</v>
      </c>
      <c r="K13" s="73">
        <v>0.33333333333333331</v>
      </c>
      <c r="L13" s="81"/>
      <c r="M13" s="70" t="s">
        <v>337</v>
      </c>
      <c r="N13" s="73">
        <v>0.33333333333333331</v>
      </c>
      <c r="O13" s="81"/>
      <c r="P13" s="70" t="s">
        <v>85</v>
      </c>
      <c r="Q13" s="70"/>
      <c r="R13" s="81"/>
      <c r="S13" s="4" t="s">
        <v>7</v>
      </c>
      <c r="T13" s="70"/>
      <c r="U13" s="81"/>
    </row>
    <row r="14" spans="1:32" ht="3.9" customHeight="1" x14ac:dyDescent="0.3">
      <c r="A14" s="71"/>
      <c r="B14" s="71"/>
      <c r="C14" s="81"/>
      <c r="D14" s="71"/>
      <c r="E14" s="71"/>
      <c r="F14" s="81"/>
      <c r="G14" s="71"/>
      <c r="H14" s="71"/>
      <c r="I14" s="81"/>
      <c r="J14" s="71"/>
      <c r="K14" s="71"/>
      <c r="L14" s="81"/>
      <c r="M14" s="71"/>
      <c r="N14" s="71"/>
      <c r="O14" s="81"/>
      <c r="P14" s="72"/>
      <c r="Q14" s="71"/>
      <c r="R14" s="81"/>
      <c r="S14" s="71"/>
      <c r="T14" s="71"/>
      <c r="U14" s="81"/>
    </row>
    <row r="15" spans="1:32" ht="20.25" customHeight="1" x14ac:dyDescent="0.3">
      <c r="A15" s="70" t="s">
        <v>85</v>
      </c>
      <c r="B15" s="73">
        <v>0.36458333333333331</v>
      </c>
      <c r="C15" s="81" t="s">
        <v>10</v>
      </c>
      <c r="D15" s="70" t="s">
        <v>333</v>
      </c>
      <c r="E15" s="73">
        <v>0.36458333333333331</v>
      </c>
      <c r="F15" s="81" t="s">
        <v>10</v>
      </c>
      <c r="G15" s="70" t="s">
        <v>334</v>
      </c>
      <c r="H15" s="73"/>
      <c r="I15" s="81"/>
      <c r="J15" s="70" t="s">
        <v>85</v>
      </c>
      <c r="K15" s="73">
        <v>0.36458333333333331</v>
      </c>
      <c r="L15" s="81"/>
      <c r="M15" s="70" t="s">
        <v>332</v>
      </c>
      <c r="N15" s="73">
        <v>0.36458333333333331</v>
      </c>
      <c r="O15" s="81"/>
      <c r="P15" s="70" t="s">
        <v>335</v>
      </c>
      <c r="Q15" s="70"/>
      <c r="R15" s="81"/>
      <c r="S15" s="4" t="s">
        <v>7</v>
      </c>
      <c r="T15" s="73"/>
      <c r="U15" s="81"/>
    </row>
    <row r="16" spans="1:32" ht="3.9" customHeight="1" x14ac:dyDescent="0.3">
      <c r="A16" s="71"/>
      <c r="B16" s="71"/>
      <c r="C16" s="82"/>
      <c r="D16" s="71"/>
      <c r="E16" s="71"/>
      <c r="F16" s="82"/>
      <c r="G16" s="71"/>
      <c r="H16" s="71"/>
      <c r="I16" s="82"/>
      <c r="J16" s="71"/>
      <c r="K16" s="71"/>
      <c r="L16" s="82"/>
      <c r="M16" s="71"/>
      <c r="N16" s="71"/>
      <c r="O16" s="82"/>
      <c r="P16" s="71"/>
      <c r="Q16" s="71"/>
      <c r="R16" s="82"/>
      <c r="S16" s="71"/>
      <c r="T16" s="71"/>
      <c r="U16" s="85"/>
    </row>
    <row r="17" spans="1:21" s="78" customFormat="1" ht="30" customHeight="1" x14ac:dyDescent="0.3">
      <c r="A17" s="88">
        <f>S12+1</f>
        <v>46251</v>
      </c>
      <c r="B17" s="79" t="str">
        <f>TEXT(A17,"DDDD")</f>
        <v>segunda-feira</v>
      </c>
      <c r="C17" s="80"/>
      <c r="D17" s="88">
        <f>A17+1</f>
        <v>46252</v>
      </c>
      <c r="E17" s="79" t="str">
        <f>TEXT(D17,"DDDD")</f>
        <v>terça-feira</v>
      </c>
      <c r="F17" s="80"/>
      <c r="G17" s="88">
        <f>D17+1</f>
        <v>46253</v>
      </c>
      <c r="H17" s="79" t="str">
        <f>TEXT(G17,"DDDD")</f>
        <v>quarta-feira</v>
      </c>
      <c r="I17" s="80"/>
      <c r="J17" s="88">
        <f>G17+1</f>
        <v>46254</v>
      </c>
      <c r="K17" s="79" t="str">
        <f>TEXT(J17,"DDDD")</f>
        <v>quinta-feira</v>
      </c>
      <c r="L17" s="80"/>
      <c r="M17" s="88">
        <f>J17+1</f>
        <v>46255</v>
      </c>
      <c r="N17" s="79" t="str">
        <f>TEXT(M17,"DDDD")</f>
        <v>sexta-feira</v>
      </c>
      <c r="O17" s="80"/>
      <c r="P17" s="88">
        <f>M17+1</f>
        <v>46256</v>
      </c>
      <c r="Q17" s="79" t="str">
        <f>TEXT(P17,"DDDD")</f>
        <v>sábado</v>
      </c>
      <c r="R17" s="80"/>
      <c r="S17" s="88">
        <f>P17+1</f>
        <v>46257</v>
      </c>
      <c r="T17" s="79" t="str">
        <f>TEXT(S17,"DDDD")</f>
        <v>domingo</v>
      </c>
      <c r="U17" s="80"/>
    </row>
    <row r="18" spans="1:21" ht="21" customHeight="1" x14ac:dyDescent="0.3">
      <c r="A18" s="70" t="s">
        <v>99</v>
      </c>
      <c r="B18" s="73">
        <v>0.33333333333333331</v>
      </c>
      <c r="C18" s="81" t="s">
        <v>10</v>
      </c>
      <c r="D18" s="70" t="s">
        <v>332</v>
      </c>
      <c r="E18" s="73">
        <v>0.33333333333333331</v>
      </c>
      <c r="F18" s="81" t="s">
        <v>10</v>
      </c>
      <c r="G18" s="70" t="s">
        <v>335</v>
      </c>
      <c r="H18" s="70"/>
      <c r="I18" s="81" t="s">
        <v>10</v>
      </c>
      <c r="J18" s="70" t="s">
        <v>336</v>
      </c>
      <c r="K18" s="73">
        <v>0.33333333333333331</v>
      </c>
      <c r="L18" s="81" t="s">
        <v>10</v>
      </c>
      <c r="M18" s="70" t="s">
        <v>337</v>
      </c>
      <c r="N18" s="73">
        <v>0.33333333333333331</v>
      </c>
      <c r="O18" s="81"/>
      <c r="P18" s="70" t="s">
        <v>99</v>
      </c>
      <c r="Q18" s="70"/>
      <c r="R18" s="81"/>
      <c r="S18" s="4" t="s">
        <v>7</v>
      </c>
      <c r="T18" s="70"/>
      <c r="U18" s="81"/>
    </row>
    <row r="19" spans="1:21" ht="3.9" customHeight="1" x14ac:dyDescent="0.3">
      <c r="A19" s="71"/>
      <c r="B19" s="71"/>
      <c r="C19" s="81"/>
      <c r="D19" s="71"/>
      <c r="E19" s="71"/>
      <c r="F19" s="81"/>
      <c r="G19" s="71"/>
      <c r="H19" s="71"/>
      <c r="I19" s="81"/>
      <c r="J19" s="71"/>
      <c r="K19" s="71"/>
      <c r="L19" s="81"/>
      <c r="M19" s="71"/>
      <c r="N19" s="71"/>
      <c r="O19" s="81"/>
      <c r="P19" s="72"/>
      <c r="Q19" s="71"/>
      <c r="R19" s="81"/>
      <c r="S19" s="71"/>
      <c r="T19" s="71"/>
      <c r="U19" s="81"/>
    </row>
    <row r="20" spans="1:21" ht="20.25" customHeight="1" x14ac:dyDescent="0.3">
      <c r="A20" s="70" t="s">
        <v>85</v>
      </c>
      <c r="B20" s="73">
        <v>0.36458333333333331</v>
      </c>
      <c r="C20" s="81" t="s">
        <v>10</v>
      </c>
      <c r="D20" s="70" t="s">
        <v>333</v>
      </c>
      <c r="E20" s="73">
        <v>0.36458333333333331</v>
      </c>
      <c r="F20" s="81" t="s">
        <v>10</v>
      </c>
      <c r="G20" s="70" t="s">
        <v>334</v>
      </c>
      <c r="H20" s="73"/>
      <c r="I20" s="81" t="s">
        <v>10</v>
      </c>
      <c r="J20" s="70" t="s">
        <v>85</v>
      </c>
      <c r="K20" s="73">
        <v>0.36458333333333331</v>
      </c>
      <c r="L20" s="81" t="s">
        <v>10</v>
      </c>
      <c r="M20" s="70" t="s">
        <v>332</v>
      </c>
      <c r="N20" s="73">
        <v>0.36458333333333331</v>
      </c>
      <c r="O20" s="81"/>
      <c r="P20" s="70" t="s">
        <v>335</v>
      </c>
      <c r="Q20" s="70"/>
      <c r="R20" s="81"/>
      <c r="S20" s="4" t="s">
        <v>7</v>
      </c>
      <c r="T20" s="73"/>
      <c r="U20" s="81"/>
    </row>
    <row r="21" spans="1:21" ht="3.9" customHeight="1" x14ac:dyDescent="0.3">
      <c r="A21" s="71"/>
      <c r="B21" s="71"/>
      <c r="C21" s="82"/>
      <c r="D21" s="71"/>
      <c r="E21" s="71"/>
      <c r="F21" s="82"/>
      <c r="G21" s="71"/>
      <c r="H21" s="71"/>
      <c r="I21" s="82"/>
      <c r="J21" s="71"/>
      <c r="K21" s="71"/>
      <c r="L21" s="82"/>
      <c r="M21" s="71"/>
      <c r="N21" s="71"/>
      <c r="O21" s="82"/>
      <c r="P21" s="71"/>
      <c r="Q21" s="71"/>
      <c r="R21" s="82"/>
      <c r="S21" s="74"/>
      <c r="T21" s="74"/>
      <c r="U21" s="86"/>
    </row>
    <row r="22" spans="1:21" s="78" customFormat="1" ht="30" customHeight="1" x14ac:dyDescent="0.3">
      <c r="A22" s="88">
        <f>S17+1</f>
        <v>46258</v>
      </c>
      <c r="B22" s="79" t="str">
        <f>TEXT(A22,"DDDD")</f>
        <v>segunda-feira</v>
      </c>
      <c r="C22" s="80"/>
      <c r="D22" s="88">
        <f>A22+1</f>
        <v>46259</v>
      </c>
      <c r="E22" s="79" t="str">
        <f>TEXT(D22,"DDDD")</f>
        <v>terça-feira</v>
      </c>
      <c r="F22" s="80"/>
      <c r="G22" s="88">
        <f>D22+1</f>
        <v>46260</v>
      </c>
      <c r="H22" s="79" t="str">
        <f>TEXT(G22,"DDDD")</f>
        <v>quarta-feira</v>
      </c>
      <c r="I22" s="80"/>
      <c r="J22" s="88">
        <f>G22+1</f>
        <v>46261</v>
      </c>
      <c r="K22" s="79" t="str">
        <f>TEXT(J22,"DDDD")</f>
        <v>quinta-feira</v>
      </c>
      <c r="L22" s="80"/>
      <c r="M22" s="88">
        <f>J22+1</f>
        <v>46262</v>
      </c>
      <c r="N22" s="79" t="str">
        <f>TEXT(M22,"DDDD")</f>
        <v>sexta-feira</v>
      </c>
      <c r="O22" s="80"/>
      <c r="P22" s="88">
        <f>M22+1</f>
        <v>46263</v>
      </c>
      <c r="Q22" s="79" t="str">
        <f>TEXT(P22,"DDDD")</f>
        <v>sábado</v>
      </c>
      <c r="R22" s="80"/>
      <c r="S22" s="101"/>
      <c r="T22" s="101"/>
      <c r="U22" s="102"/>
    </row>
    <row r="23" spans="1:21" ht="23.25" customHeight="1" x14ac:dyDescent="0.3">
      <c r="A23" s="70" t="s">
        <v>99</v>
      </c>
      <c r="B23" s="73">
        <v>0.33333333333333331</v>
      </c>
      <c r="C23" s="81"/>
      <c r="D23" s="70" t="s">
        <v>332</v>
      </c>
      <c r="E23" s="73">
        <v>0.33333333333333331</v>
      </c>
      <c r="F23" s="81"/>
      <c r="G23" s="70" t="s">
        <v>335</v>
      </c>
      <c r="H23" s="70"/>
      <c r="I23" s="81" t="s">
        <v>10</v>
      </c>
      <c r="J23" s="70" t="s">
        <v>336</v>
      </c>
      <c r="K23" s="73">
        <v>0.33333333333333331</v>
      </c>
      <c r="L23" s="81"/>
      <c r="M23" s="70" t="s">
        <v>337</v>
      </c>
      <c r="N23" s="73">
        <v>0.33333333333333331</v>
      </c>
      <c r="O23" s="81" t="s">
        <v>10</v>
      </c>
      <c r="P23" s="70" t="s">
        <v>334</v>
      </c>
      <c r="Q23" s="75"/>
      <c r="R23" s="81"/>
      <c r="S23" s="101"/>
      <c r="T23" s="101"/>
      <c r="U23" s="102"/>
    </row>
    <row r="24" spans="1:21" ht="3.9" customHeight="1" x14ac:dyDescent="0.3">
      <c r="A24" s="71"/>
      <c r="B24" s="71"/>
      <c r="C24" s="81"/>
      <c r="D24" s="71"/>
      <c r="E24" s="71"/>
      <c r="F24" s="81"/>
      <c r="G24" s="71"/>
      <c r="H24" s="71"/>
      <c r="I24" s="81"/>
      <c r="J24" s="71"/>
      <c r="K24" s="71"/>
      <c r="L24" s="81"/>
      <c r="M24" s="71"/>
      <c r="N24" s="71"/>
      <c r="O24" s="81"/>
      <c r="P24" s="72"/>
      <c r="Q24" s="76"/>
      <c r="R24" s="81"/>
      <c r="S24" s="101"/>
      <c r="T24" s="101"/>
      <c r="U24" s="102"/>
    </row>
    <row r="25" spans="1:21" ht="24" customHeight="1" x14ac:dyDescent="0.3">
      <c r="A25" s="70" t="s">
        <v>85</v>
      </c>
      <c r="B25" s="73">
        <v>0.36458333333333331</v>
      </c>
      <c r="C25" s="81"/>
      <c r="D25" s="70" t="s">
        <v>333</v>
      </c>
      <c r="E25" s="73">
        <v>0.36458333333333331</v>
      </c>
      <c r="F25" s="81"/>
      <c r="G25" s="70" t="s">
        <v>334</v>
      </c>
      <c r="H25" s="73"/>
      <c r="I25" s="81" t="s">
        <v>10</v>
      </c>
      <c r="J25" s="70" t="s">
        <v>85</v>
      </c>
      <c r="K25" s="73">
        <v>0.36458333333333331</v>
      </c>
      <c r="L25" s="81"/>
      <c r="M25" s="70" t="s">
        <v>332</v>
      </c>
      <c r="N25" s="73">
        <v>0.36458333333333331</v>
      </c>
      <c r="O25" s="81" t="s">
        <v>10</v>
      </c>
      <c r="P25" s="70" t="s">
        <v>335</v>
      </c>
      <c r="Q25" s="75"/>
      <c r="R25" s="81"/>
      <c r="S25" s="101"/>
      <c r="T25" s="101"/>
      <c r="U25" s="102"/>
    </row>
    <row r="26" spans="1:21" ht="3.9" customHeight="1" x14ac:dyDescent="0.3">
      <c r="A26" s="71"/>
      <c r="B26" s="71"/>
      <c r="C26" s="71"/>
      <c r="D26" s="71"/>
      <c r="E26" s="71"/>
      <c r="F26" s="82"/>
      <c r="G26" s="71"/>
      <c r="H26" s="71"/>
      <c r="I26" s="82"/>
      <c r="J26" s="76"/>
      <c r="K26" s="76"/>
      <c r="L26" s="84"/>
      <c r="M26" s="76"/>
      <c r="N26" s="76"/>
      <c r="O26" s="84"/>
      <c r="P26" s="76"/>
      <c r="Q26" s="76"/>
      <c r="R26" s="84"/>
      <c r="S26" s="103"/>
      <c r="T26" s="103"/>
      <c r="U26" s="104"/>
    </row>
  </sheetData>
  <mergeCells count="2">
    <mergeCell ref="S22:U26"/>
    <mergeCell ref="D1:P1"/>
  </mergeCells>
  <conditionalFormatting sqref="C26 F26 I26 U3:U6 O3:O6 U8:U11 O8:O11 U13:U16 O13:O16 U18:U21 O18:O21">
    <cfRule type="cellIs" dxfId="39" priority="99" operator="equal">
      <formula>#REF!</formula>
    </cfRule>
    <cfRule type="cellIs" dxfId="38" priority="100" operator="equal">
      <formula>#REF!</formula>
    </cfRule>
  </conditionalFormatting>
  <conditionalFormatting sqref="R3:R6 R8:R11 R13:R16 R18:R21">
    <cfRule type="cellIs" dxfId="37" priority="37" operator="equal">
      <formula>#REF!</formula>
    </cfRule>
    <cfRule type="cellIs" dxfId="36" priority="38" operator="equal">
      <formula>#REF!</formula>
    </cfRule>
  </conditionalFormatting>
  <conditionalFormatting sqref="R23:R25">
    <cfRule type="cellIs" dxfId="35" priority="35" operator="equal">
      <formula>#REF!</formula>
    </cfRule>
    <cfRule type="cellIs" dxfId="34" priority="36" operator="equal">
      <formula>#REF!</formula>
    </cfRule>
  </conditionalFormatting>
  <conditionalFormatting sqref="L3:L6 L8:L11 L13:L16 L18:L21">
    <cfRule type="cellIs" dxfId="33" priority="33" operator="equal">
      <formula>#REF!</formula>
    </cfRule>
    <cfRule type="cellIs" dxfId="32" priority="34" operator="equal">
      <formula>#REF!</formula>
    </cfRule>
  </conditionalFormatting>
  <conditionalFormatting sqref="I3:I6 I8:I11 I13:I16 I18:I21">
    <cfRule type="cellIs" dxfId="31" priority="29" operator="equal">
      <formula>#REF!</formula>
    </cfRule>
    <cfRule type="cellIs" dxfId="30" priority="30" operator="equal">
      <formula>#REF!</formula>
    </cfRule>
  </conditionalFormatting>
  <conditionalFormatting sqref="F3:F6 F8:F11 F13:F16 F18:F21">
    <cfRule type="cellIs" dxfId="29" priority="25" operator="equal">
      <formula>#REF!</formula>
    </cfRule>
    <cfRule type="cellIs" dxfId="28" priority="26" operator="equal">
      <formula>#REF!</formula>
    </cfRule>
  </conditionalFormatting>
  <conditionalFormatting sqref="C3:C6 C8:C11 C13:C16 C18:C21">
    <cfRule type="cellIs" dxfId="27" priority="21" operator="equal">
      <formula>#REF!</formula>
    </cfRule>
    <cfRule type="cellIs" dxfId="26" priority="22" operator="equal">
      <formula>#REF!</formula>
    </cfRule>
  </conditionalFormatting>
  <conditionalFormatting sqref="O23:O25">
    <cfRule type="cellIs" dxfId="25" priority="9" operator="equal">
      <formula>#REF!</formula>
    </cfRule>
    <cfRule type="cellIs" dxfId="24" priority="10" operator="equal">
      <formula>#REF!</formula>
    </cfRule>
  </conditionalFormatting>
  <conditionalFormatting sqref="L23:L25">
    <cfRule type="cellIs" dxfId="23" priority="7" operator="equal">
      <formula>#REF!</formula>
    </cfRule>
    <cfRule type="cellIs" dxfId="22" priority="8" operator="equal">
      <formula>#REF!</formula>
    </cfRule>
  </conditionalFormatting>
  <conditionalFormatting sqref="I23:I25">
    <cfRule type="cellIs" dxfId="21" priority="5" operator="equal">
      <formula>#REF!</formula>
    </cfRule>
    <cfRule type="cellIs" dxfId="20" priority="6" operator="equal">
      <formula>#REF!</formula>
    </cfRule>
  </conditionalFormatting>
  <conditionalFormatting sqref="F23:F25">
    <cfRule type="cellIs" dxfId="19" priority="3" operator="equal">
      <formula>#REF!</formula>
    </cfRule>
    <cfRule type="cellIs" dxfId="18" priority="4" operator="equal">
      <formula>#REF!</formula>
    </cfRule>
  </conditionalFormatting>
  <conditionalFormatting sqref="C23:C25">
    <cfRule type="cellIs" dxfId="17" priority="1" operator="equal">
      <formula>#REF!</formula>
    </cfRule>
    <cfRule type="cellIs" dxfId="16" priority="2" operator="equal">
      <formula>#REF!</formula>
    </cfRule>
  </conditionalFormatting>
  <dataValidations count="2">
    <dataValidation type="list" allowBlank="1" showInputMessage="1" showErrorMessage="1" sqref="F6 F26 I21 R21 O21 I16 R16 L21 U16 U6 O16 I26 F21 L16 F16 O11 O6 R11 F11 R6 L11 L6 C26 I11 U11 I6 U21 C21 C16 C11 C6" xr:uid="{00000000-0002-0000-1100-000000000000}">
      <formula1>#REF!</formula1>
    </dataValidation>
    <dataValidation type="list" allowBlank="1" showInputMessage="1" showErrorMessage="1" sqref="C13:C15 I13:I15 C8:C10 I8:I10 C3:C5 O18:O20 O8:O10 O13:O15 R8:R10 I3:I5 R13:R15 U8:U10 R18:R20 O3:O5 R3:R5 U3:U5 U13:U15 L8:L10 L13:L15 U18:U20 L3:L5 L18:L20 R23:R25 F18:F20 F13:F15 F8:F10 F3:F5 C18:C20 I18:I20 O23:O25 L23:L25 F23:F25 C23:C25 I23:I25" xr:uid="{00000000-0002-0000-1100-000001000000}">
      <formula1>$V$2:$V$3</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10 (2)</vt:lpstr>
      <vt:lpstr>capa (2)</vt:lpstr>
      <vt:lpstr>capa</vt:lpstr>
      <vt:lpstr>desempenho</vt:lpstr>
      <vt:lpstr>1</vt:lpstr>
      <vt:lpstr>2</vt:lpstr>
      <vt:lpstr>3</vt:lpstr>
      <vt:lpstr>4</vt:lpstr>
      <vt:lpstr>5</vt:lpstr>
      <vt:lpstr>6</vt:lpstr>
      <vt:lpstr>7</vt:lpstr>
      <vt:lpstr>8</vt:lpstr>
      <vt:lpstr>9</vt:lpstr>
      <vt:lpstr>10</vt:lpstr>
      <vt:lpstr>11</vt:lpstr>
      <vt:lpstr>Base</vt:lpstr>
      <vt:lpstr>agenda</vt:lpstr>
      <vt:lpstr>Plan1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Logista2 Tmilitão</dc:creator>
  <cp:lastModifiedBy>Ornilio Neto</cp:lastModifiedBy>
  <dcterms:created xsi:type="dcterms:W3CDTF">2024-07-16T12:15:00Z</dcterms:created>
  <dcterms:modified xsi:type="dcterms:W3CDTF">2026-07-29T00:36:21Z</dcterms:modified>
</cp:coreProperties>
</file>